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3.xml" ContentType="application/vnd.ms-excel.person+xml"/>
  <Override PartName="/xl/persons/person8.xml" ContentType="application/vnd.ms-excel.person+xml"/>
  <Override PartName="/xl/persons/person21.xml" ContentType="application/vnd.ms-excel.person+xml"/>
  <Override PartName="/xl/persons/person29.xml" ContentType="application/vnd.ms-excel.person+xml"/>
  <Override PartName="/xl/persons/person33.xml" ContentType="application/vnd.ms-excel.person+xml"/>
  <Override PartName="/xl/persons/person37.xml" ContentType="application/vnd.ms-excel.person+xml"/>
  <Override PartName="/xl/persons/person41.xml" ContentType="application/vnd.ms-excel.person+xml"/>
  <Override PartName="/xl/persons/person50.xml" ContentType="application/vnd.ms-excel.person+xml"/>
  <Override PartName="/xl/persons/person.xml" ContentType="application/vnd.ms-excel.person+xml"/>
  <Override PartName="/xl/persons/person4.xml" ContentType="application/vnd.ms-excel.person+xml"/>
  <Override PartName="/xl/persons/person16.xml" ContentType="application/vnd.ms-excel.person+xml"/>
  <Override PartName="/xl/persons/person11.xml" ContentType="application/vnd.ms-excel.person+xml"/>
  <Override PartName="/xl/persons/person19.xml" ContentType="application/vnd.ms-excel.person+xml"/>
  <Override PartName="/xl/persons/person24.xml" ContentType="application/vnd.ms-excel.person+xml"/>
  <Override PartName="/xl/persons/person27.xml" ContentType="application/vnd.ms-excel.person+xml"/>
  <Override PartName="/xl/persons/person32.xml" ContentType="application/vnd.ms-excel.person+xml"/>
  <Override PartName="/xl/persons/person40.xml" ContentType="application/vnd.ms-excel.person+xml"/>
  <Override PartName="/xl/persons/person43.xml" ContentType="application/vnd.ms-excel.person+xml"/>
  <Override PartName="/xl/persons/person53.xml" ContentType="application/vnd.ms-excel.person+xml"/>
  <Override PartName="/xl/persons/person46.xml" ContentType="application/vnd.ms-excel.person+xml"/>
  <Override PartName="/xl/persons/person7.xml" ContentType="application/vnd.ms-excel.person+xml"/>
  <Override PartName="/xl/persons/person45.xml" ContentType="application/vnd.ms-excel.person+xml"/>
  <Override PartName="/xl/persons/person36.xml" ContentType="application/vnd.ms-excel.person+xml"/>
  <Override PartName="/xl/persons/person31.xml" ContentType="application/vnd.ms-excel.person+xml"/>
  <Override PartName="/xl/persons/person23.xml" ContentType="application/vnd.ms-excel.person+xml"/>
  <Override PartName="/xl/persons/person18.xml" ContentType="application/vnd.ms-excel.person+xml"/>
  <Override PartName="/xl/persons/person15.xml" ContentType="application/vnd.ms-excel.person+xml"/>
  <Override PartName="/xl/persons/person10.xml" ContentType="application/vnd.ms-excel.person+xml"/>
  <Override PartName="/xl/persons/person3.xml" ContentType="application/vnd.ms-excel.person+xml"/>
  <Override PartName="/xl/persons/person51.xml" ContentType="application/vnd.ms-excel.person+xml"/>
  <Override PartName="/xl/persons/person39.xml" ContentType="application/vnd.ms-excel.person+xml"/>
  <Override PartName="/xl/persons/person48.xml" ContentType="application/vnd.ms-excel.person+xml"/>
  <Override PartName="/xl/persons/person34.xml" ContentType="application/vnd.ms-excel.person+xml"/>
  <Override PartName="/xl/persons/person5.xml" ContentType="application/vnd.ms-excel.person+xml"/>
  <Override PartName="/xl/persons/person12.xml" ContentType="application/vnd.ms-excel.person+xml"/>
  <Override PartName="/xl/persons/person20.xml" ContentType="application/vnd.ms-excel.person+xml"/>
  <Override PartName="/xl/persons/person25.xml" ContentType="application/vnd.ms-excel.person+xml"/>
  <Override PartName="/xl/persons/person54.xml" ContentType="application/vnd.ms-excel.person+xml"/>
  <Override PartName="/xl/persons/person49.xml" ContentType="application/vnd.ms-excel.person+xml"/>
  <Override PartName="/xl/persons/person42.xml" ContentType="application/vnd.ms-excel.person+xml"/>
  <Override PartName="/xl/persons/person0.xml" ContentType="application/vnd.ms-excel.person+xml"/>
  <Override PartName="/xl/persons/person28.xml" ContentType="application/vnd.ms-excel.person+xml"/>
  <Override PartName="/xl/persons/person44.xml" ContentType="application/vnd.ms-excel.person+xml"/>
  <Override PartName="/xl/persons/person2.xml" ContentType="application/vnd.ms-excel.person+xml"/>
  <Override PartName="/xl/persons/person9.xml" ContentType="application/vnd.ms-excel.person+xml"/>
  <Override PartName="/xl/persons/person14.xml" ContentType="application/vnd.ms-excel.person+xml"/>
  <Override PartName="/xl/persons/person22.xml" ContentType="application/vnd.ms-excel.person+xml"/>
  <Override PartName="/xl/persons/person35.xml" ContentType="application/vnd.ms-excel.person+xml"/>
  <Override PartName="/xl/persons/person47.xml" ContentType="application/vnd.ms-excel.person+xml"/>
  <Override PartName="/xl/persons/person17.xml" ContentType="application/vnd.ms-excel.person+xml"/>
  <Override PartName="/xl/persons/person30.xml" ContentType="application/vnd.ms-excel.person+xml"/>
  <Override PartName="/xl/persons/person38.xml" ContentType="application/vnd.ms-excel.person+xml"/>
  <Override PartName="/xl/persons/person52.xml" ContentType="application/vnd.ms-excel.person+xml"/>
  <Override PartName="/xl/persons/person1.xml" ContentType="application/vnd.ms-excel.person+xml"/>
  <Override PartName="/xl/persons/person6.xml" ContentType="application/vnd.ms-excel.person+xml"/>
  <Override PartName="/xl/persons/person26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937a115c2860c1f/Projekty/VBA/RZM/"/>
    </mc:Choice>
  </mc:AlternateContent>
  <xr:revisionPtr revIDLastSave="235" documentId="13_ncr:1_{8ED146AE-6E95-4700-BD0C-CE80623F34DD}" xr6:coauthVersionLast="47" xr6:coauthVersionMax="47" xr10:uidLastSave="{431FC59A-C188-4D8A-AC7F-FB643FD7427C}"/>
  <workbookProtection lockStructure="1"/>
  <bookViews>
    <workbookView xWindow="-120" yWindow="-120" windowWidth="20730" windowHeight="11160" xr2:uid="{DFA573D6-285F-4ECE-8043-32DE29C3E050}"/>
  </bookViews>
  <sheets>
    <sheet name="Energia elektryczna" sheetId="7" r:id="rId1"/>
    <sheet name="Woda" sheetId="2" r:id="rId2"/>
    <sheet name="Gaz" sheetId="4" r:id="rId3"/>
    <sheet name="ŚMIECI" sheetId="5" r:id="rId4"/>
    <sheet name="PODSUMOWANIE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7" l="1"/>
  <c r="H3" i="7" s="1"/>
  <c r="N3" i="7" s="1"/>
  <c r="O3" i="7" s="1"/>
  <c r="F4" i="7"/>
  <c r="G5" i="7" s="1"/>
  <c r="P3" i="7"/>
  <c r="F15" i="7"/>
  <c r="K14" i="7"/>
  <c r="A14" i="7"/>
  <c r="C14" i="7" s="1"/>
  <c r="K13" i="7"/>
  <c r="A13" i="7"/>
  <c r="C13" i="7" s="1"/>
  <c r="K12" i="7"/>
  <c r="A12" i="7"/>
  <c r="C12" i="7" s="1"/>
  <c r="K11" i="7"/>
  <c r="A11" i="7"/>
  <c r="C11" i="7" s="1"/>
  <c r="K10" i="7"/>
  <c r="A10" i="7"/>
  <c r="C10" i="7" s="1"/>
  <c r="K9" i="7"/>
  <c r="A9" i="7"/>
  <c r="C9" i="7" s="1"/>
  <c r="K8" i="7"/>
  <c r="A8" i="7"/>
  <c r="C8" i="7" s="1"/>
  <c r="K7" i="7"/>
  <c r="A7" i="7"/>
  <c r="C7" i="7" s="1"/>
  <c r="K6" i="7"/>
  <c r="A6" i="7"/>
  <c r="C6" i="7" s="1"/>
  <c r="K5" i="7"/>
  <c r="A5" i="7"/>
  <c r="C5" i="7" s="1"/>
  <c r="K4" i="7"/>
  <c r="G4" i="7"/>
  <c r="A4" i="7"/>
  <c r="C4" i="7" s="1"/>
  <c r="K3" i="7"/>
  <c r="C3" i="7"/>
  <c r="F5" i="7" l="1"/>
  <c r="I3" i="7"/>
  <c r="H4" i="7"/>
  <c r="I4" i="7" s="1"/>
  <c r="D10" i="2"/>
  <c r="B10" i="2"/>
  <c r="C9" i="2"/>
  <c r="E9" i="2" s="1"/>
  <c r="B9" i="2"/>
  <c r="D9" i="2" s="1"/>
  <c r="B6" i="2"/>
  <c r="N4" i="7" l="1"/>
  <c r="O4" i="7" s="1"/>
  <c r="P4" i="7" s="1"/>
  <c r="F6" i="7"/>
  <c r="G6" i="7"/>
  <c r="H5" i="7"/>
  <c r="N14" i="2"/>
  <c r="D5" i="4"/>
  <c r="F5" i="4" s="1"/>
  <c r="D4" i="4"/>
  <c r="F4" i="4" s="1"/>
  <c r="D6" i="4"/>
  <c r="F6" i="4" s="1"/>
  <c r="F1" i="4"/>
  <c r="D3" i="4"/>
  <c r="F3" i="4" s="1"/>
  <c r="J2" i="2"/>
  <c r="G5" i="2"/>
  <c r="H6" i="7" l="1"/>
  <c r="I5" i="7"/>
  <c r="N5" i="7"/>
  <c r="O5" i="7" s="1"/>
  <c r="N6" i="7"/>
  <c r="O6" i="7" s="1"/>
  <c r="I6" i="7"/>
  <c r="F7" i="7"/>
  <c r="G7" i="7"/>
  <c r="F7" i="4"/>
  <c r="K9" i="2"/>
  <c r="H7" i="7" l="1"/>
  <c r="N7" i="7" s="1"/>
  <c r="O7" i="7" s="1"/>
  <c r="F8" i="7"/>
  <c r="G8" i="7"/>
  <c r="P6" i="7"/>
  <c r="P5" i="7"/>
  <c r="B3" i="6"/>
  <c r="I3" i="6" s="1"/>
  <c r="H8" i="7" l="1"/>
  <c r="I7" i="7"/>
  <c r="I8" i="7"/>
  <c r="N8" i="7"/>
  <c r="O8" i="7" s="1"/>
  <c r="P8" i="7" s="1"/>
  <c r="G9" i="7"/>
  <c r="F9" i="7"/>
  <c r="P7" i="7"/>
  <c r="B8" i="2"/>
  <c r="B11" i="2" s="1"/>
  <c r="G10" i="7" l="1"/>
  <c r="F10" i="7"/>
  <c r="H9" i="7"/>
  <c r="B13" i="6"/>
  <c r="I13" i="6" s="1"/>
  <c r="B11" i="6"/>
  <c r="I11" i="6" s="1"/>
  <c r="B7" i="6"/>
  <c r="I7" i="6" s="1"/>
  <c r="B12" i="6"/>
  <c r="I12" i="6" s="1"/>
  <c r="B5" i="6"/>
  <c r="I5" i="6" s="1"/>
  <c r="B10" i="6"/>
  <c r="I10" i="6" s="1"/>
  <c r="B8" i="6"/>
  <c r="I8" i="6" s="1"/>
  <c r="B9" i="6"/>
  <c r="I9" i="6" s="1"/>
  <c r="B4" i="6"/>
  <c r="I4" i="6" s="1"/>
  <c r="B14" i="6"/>
  <c r="I14" i="6" s="1"/>
  <c r="B6" i="6"/>
  <c r="I6" i="6" s="1"/>
  <c r="N9" i="7" l="1"/>
  <c r="O9" i="7" s="1"/>
  <c r="P9" i="7" s="1"/>
  <c r="I9" i="7"/>
  <c r="G11" i="7"/>
  <c r="F11" i="7"/>
  <c r="H10" i="7"/>
  <c r="I10" i="7" l="1"/>
  <c r="N10" i="7"/>
  <c r="O10" i="7" s="1"/>
  <c r="F12" i="7"/>
  <c r="G12" i="7"/>
  <c r="H11" i="7"/>
  <c r="P10" i="7"/>
  <c r="H12" i="7" l="1"/>
  <c r="I12" i="7" s="1"/>
  <c r="N11" i="7"/>
  <c r="O11" i="7" s="1"/>
  <c r="I11" i="7"/>
  <c r="G13" i="7"/>
  <c r="F13" i="7"/>
  <c r="N12" i="7" l="1"/>
  <c r="O12" i="7" s="1"/>
  <c r="P12" i="7" s="1"/>
  <c r="G14" i="7"/>
  <c r="F14" i="7"/>
  <c r="H13" i="7"/>
  <c r="P11" i="7"/>
  <c r="N13" i="7" l="1"/>
  <c r="I13" i="7"/>
  <c r="H14" i="7"/>
  <c r="N14" i="7" l="1"/>
  <c r="O14" i="7" s="1"/>
  <c r="I14" i="7"/>
  <c r="D15" i="7"/>
  <c r="O13" i="7"/>
  <c r="P14" i="7" l="1"/>
  <c r="P13" i="7"/>
  <c r="H15" i="7"/>
  <c r="B15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UserPiotrek</author>
  </authors>
  <commentList>
    <comment ref="A15" authorId="0" shapeId="0" xr:uid="{45C8AEB9-4CCB-4FE0-9BDF-8F99B34D910A}">
      <text>
        <r>
          <rPr>
            <b/>
            <sz val="10"/>
            <color indexed="81"/>
            <rFont val="Tahoma"/>
            <family val="2"/>
            <charset val="238"/>
          </rPr>
          <t>Wybierz opcje cyklu rozliczeniowego.</t>
        </r>
      </text>
    </comment>
    <comment ref="B15" authorId="0" shapeId="0" xr:uid="{ED977B26-F388-4649-919C-D36D28DE606D}">
      <text>
        <r>
          <rPr>
            <b/>
            <sz val="9"/>
            <color indexed="81"/>
            <rFont val="Tahoma"/>
            <family val="2"/>
            <charset val="238"/>
          </rPr>
          <t>Średnia kwota za energię elektryczną miesięcznie [brutto].</t>
        </r>
      </text>
    </comment>
  </commentList>
</comments>
</file>

<file path=xl/sharedStrings.xml><?xml version="1.0" encoding="utf-8"?>
<sst xmlns="http://schemas.openxmlformats.org/spreadsheetml/2006/main" count="101" uniqueCount="93">
  <si>
    <t>WYBIERZ</t>
  </si>
  <si>
    <t>ILOŚĆ ZUŻYTEJ ENERGII CZYNNEJ NALICZONEJ NA BIEŻĄCEJ FAKTURZE VAT</t>
  </si>
  <si>
    <t>OPŁATA ZA ENERGIE CZYNNĄ [BRUTTO]</t>
  </si>
  <si>
    <t>CENA ZA 1 kWh [BRUTTO]</t>
  </si>
  <si>
    <t>CENA ZA 1 kWh [NETTO]</t>
  </si>
  <si>
    <t>STAN ODCZYTU Z LICZNIKA W POPRZEDNIO WYSTAWIONEJ FAKTURY VAT</t>
  </si>
  <si>
    <t>STAN LICZNIKA Z BIEŻĄCEJ FAKTURY VAT [kWh]</t>
  </si>
  <si>
    <t>ZUŻYCIE ENERGII CZYNNEJ W BIEŻĄCYM OKRESIE ROZLICZENIOWYM NA PODSTAWIE ODCZYTÓW LICZNIKA</t>
  </si>
  <si>
    <t>STAWKA PODATKU VAT</t>
  </si>
  <si>
    <t>OPŁATY PRZESYŁOWE - DYSTRYBUCYJNE [BRUTTO]</t>
  </si>
  <si>
    <t>PEŁNA KWOTA FAKTURY VAT [BRUTTO]</t>
  </si>
  <si>
    <t>DATA WYSTAWIENIA BIEŻĄCEJ FAKTURY VAT</t>
  </si>
  <si>
    <t>DATA WYSTAWIENIA POPRZEDNIEJ FAKTURY VAT</t>
  </si>
  <si>
    <t>BIEŻĄCY OKRES ROZLICZENIOWY [DNI]</t>
  </si>
  <si>
    <t>DATA ODCZYTU STANU LICZNIKA NA BIEŻĄCEJ FAKTURZE VAT</t>
  </si>
  <si>
    <t>ŚREDNIE DOBOWE ZUŻYCIE ENERGII ELEKTRYCZNEJ W AKTUALNYM OKRESIE ROZLICZENIOWYM</t>
  </si>
  <si>
    <t>SUMA WSZYSTKICH OPŁAT ZA ENERGIE CZYNNĄ [BRUTTO]</t>
  </si>
  <si>
    <t>SUMA WSZYSTKICH OPŁAT DYSTRYBUCYJNYCH [BRUTTO]</t>
  </si>
  <si>
    <t>SUMA WSZYSTKICH FAKTUR VAT [BRUTTO]</t>
  </si>
  <si>
    <t>WODA ZIMNA</t>
  </si>
  <si>
    <t>WODA CIEPŁA</t>
  </si>
  <si>
    <t>SUMA [1L]</t>
  </si>
  <si>
    <t>ODCZYT Z LICZNIKA</t>
  </si>
  <si>
    <t>OPŁ. DYSTRYBUCYJNA I</t>
  </si>
  <si>
    <t>OPŁ. DYSTRYBUCYJNA II</t>
  </si>
  <si>
    <t>OPŁ. DYSTRYBUCYJNA III</t>
  </si>
  <si>
    <t>OPŁ. DYSTRYBUCYJNA IV</t>
  </si>
  <si>
    <t>OPŁ. DYSTRYBUCYJNA V</t>
  </si>
  <si>
    <t>SUMA [PLN BRUTTO]</t>
  </si>
  <si>
    <t>KALKULATOR OPŁAT DYSTRYBUCYJNYCH</t>
  </si>
  <si>
    <t>OPŁ. DYSTRYBUCYJNA VI</t>
  </si>
  <si>
    <t>ODPŁYW WODA ZIMNA</t>
  </si>
  <si>
    <t>PODATEK VAT</t>
  </si>
  <si>
    <t>Ł. OPŁ. DYSTRYBUCYJNE [BRUTTO]</t>
  </si>
  <si>
    <t>ODPŁYW WODA CIEPŁA</t>
  </si>
  <si>
    <t>KWOTA NA RACHUNKU [BRUTTO]</t>
  </si>
  <si>
    <t>RÓŻNICA W KALKULACJI [BRUTTO]</t>
  </si>
  <si>
    <t>ZUŻYCIE WEDŁUG ODCZYTÓW LICZNIKA</t>
  </si>
  <si>
    <t>`</t>
  </si>
  <si>
    <t>PRZENIEŚ DO TABELI UZYSKANĄ WARTOŚĆ</t>
  </si>
  <si>
    <t>CENA ZA 1M3 [NETTO]</t>
  </si>
  <si>
    <t>ZUŻYCIE [1M3]</t>
  </si>
  <si>
    <t>SUMA ZUŻYCIA [1M3]</t>
  </si>
  <si>
    <t>OPŁATY [PLN BRUTTO]</t>
  </si>
  <si>
    <t>ENERGIA ELEKTRYCZNA</t>
  </si>
  <si>
    <t>DATA FAKTURY VAT</t>
  </si>
  <si>
    <t>FAKTURY VAT (BRUTTO)</t>
  </si>
  <si>
    <t>ŁĄCZ. KWOTA FAKTUR VAT</t>
  </si>
  <si>
    <t>WODA</t>
  </si>
  <si>
    <t>GAZ</t>
  </si>
  <si>
    <t>ŚMIECI</t>
  </si>
  <si>
    <t>KWOTA FAKTURY VAT [BRUTTO]</t>
  </si>
  <si>
    <t>KWOTA FAKTURY VAT [NETTO]</t>
  </si>
  <si>
    <t>POPRZEDNI ODCZYT STANU LICZNIKA</t>
  </si>
  <si>
    <t>BIEŻĄCY ODCZYT STANU LICZNIKA</t>
  </si>
  <si>
    <t>CENA NETTO [GR]</t>
  </si>
  <si>
    <t>WARTOŚĆ NETTO [ZŁ]</t>
  </si>
  <si>
    <t>WARTOŚĆ BRUTTO [ZŁ]</t>
  </si>
  <si>
    <t>ZA PALIWO GAZOWE</t>
  </si>
  <si>
    <t>ABONAMENT</t>
  </si>
  <si>
    <t>DYSTRYBUCJA STAŁA</t>
  </si>
  <si>
    <t>DYSTRYBUCJA ZMIENNA</t>
  </si>
  <si>
    <t>ZUŻYCIE ODCZYT LICZNIKA</t>
  </si>
  <si>
    <t>ILOŚĆ</t>
  </si>
  <si>
    <t>DO ZAPŁATY</t>
  </si>
  <si>
    <t xml:space="preserve">"Energia elektryczna jest wszechobecna w nieograniczonych źródłach i może zasilać maszynerię świata bez potrzeby węgla, gazu czy innych paliw ."                                                                                      </t>
  </si>
  <si>
    <t>- Wiktor Hugo</t>
  </si>
  <si>
    <t xml:space="preserve">Nie można nakłonić umysłu, by poniechał jakiejś myśli, tak jak nie można zmusić morza, by nie zalewało brzegu. Dla marynarza zwie się to przypływem; dla winowajcy - wyrzutem sumienia. Bóg wzburza duszę jak ocean. </t>
  </si>
  <si>
    <t>PODSUMOWANIE</t>
  </si>
  <si>
    <t>SUMA:</t>
  </si>
  <si>
    <t>POPRZEDNI</t>
  </si>
  <si>
    <t>AKTUALNY</t>
  </si>
  <si>
    <t>ZUŻYCIE WODY</t>
  </si>
  <si>
    <t>Piotr Kazimierz Bodych</t>
  </si>
  <si>
    <t>Polish Peter Technology Sp. z o.o.</t>
  </si>
  <si>
    <t>POLPIOTECH®</t>
  </si>
  <si>
    <t>Energia Elektryczna</t>
  </si>
  <si>
    <t>-  Nikola Tesla</t>
  </si>
  <si>
    <t>RÓŻNICA W OPŁACIE WZGLĘDEM POPRZEDNIEGO OKRESU ROZLICZENIOWEGO</t>
  </si>
  <si>
    <t>Na potrzebę kontaktu z administratorem za pomocą hiperłącza odpowiadającego za przygotowanie wiadomość e-mail konieczne jest zainstalowanie na komputerze oraz skonfigurowanie aplikacji klienta poczty e-mail.</t>
  </si>
  <si>
    <t>Klient pocztowy: Mozilla Thunderbird</t>
  </si>
  <si>
    <t>Inżynier i wynalazca serbskiego pochodzenia, urodził się 9 lub 10 lipca 1856 roku we wsi Smiljan. Studiował fizykę i matematykę na politechnice w Grazu oraz filozofię na praskim uniwersytecie. W 1881 roku analiza pracy w urzędzie telefonicznym w Budapeszcie.</t>
  </si>
  <si>
    <r>
      <rPr>
        <b/>
        <sz val="24"/>
        <color rgb="FF00FFFF"/>
        <rFont val="Bookman Old Style"/>
        <family val="1"/>
        <charset val="238"/>
      </rPr>
      <t>Data</t>
    </r>
    <r>
      <rPr>
        <b/>
        <sz val="24"/>
        <color rgb="FF00FFFF"/>
        <rFont val="Old English Text MT"/>
        <family val="4"/>
      </rPr>
      <t>: 20.04.2023 r.</t>
    </r>
  </si>
  <si>
    <t>DATA WYSTAWIENIA FV</t>
  </si>
  <si>
    <t>WARTOŚĆ FV VAT BRUTTO</t>
  </si>
  <si>
    <t>Instrukcja:</t>
  </si>
  <si>
    <t>2. Przejdź do uzupełnienia komórki B3 (data wystawienia aktualnej faktury VAT).</t>
  </si>
  <si>
    <t>3. Opcjonalnie uzupełnij komórkę D3 (data odczytu licznika energetycznego).</t>
  </si>
  <si>
    <t>4. Wpisz w komórkę E3 ilość zużytej energii czynnej.</t>
  </si>
  <si>
    <t>5. W komórce E3 wpisz aktualny stan licznika z faktury VAT.</t>
  </si>
  <si>
    <t>6. W komórce J3 wpisz aktualną cenę netto za 1 kWh.</t>
  </si>
  <si>
    <t>7. W komórce M3 wpisz opłaty dystrybucyjne z obecnej faktury VAT.</t>
  </si>
  <si>
    <t>1. Uzupełnij komórkę A3 (data poprzedniej faktury VAT).      --- UZUPEŁNIANA JEST TYLKO KOMÓRKA A3 W CAŁEJ KOLUMNIE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</si>
</sst>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_(&quot;zł&quot;* #,##0.00_);_(&quot;zł&quot;* \(#,##0.00\);_(&quot;zł&quot;* &quot;-&quot;??_);_(@_)"/>
    <numFmt numFmtId="165" formatCode="#,##0.00\ &quot;zł&quot;"/>
    <numFmt numFmtId="166" formatCode="0.0"/>
    <numFmt numFmtId="167" formatCode="0.0_/\k\W\h"/>
    <numFmt numFmtId="168" formatCode="0\m\c"/>
    <numFmt numFmtId="169" formatCode="0.00_/\k\W\h"/>
    <numFmt numFmtId="170" formatCode="0\d"/>
    <numFmt numFmtId="171" formatCode="0.00\m\3"/>
    <numFmt numFmtId="172" formatCode="0.000\m\3"/>
    <numFmt numFmtId="173" formatCode="0\L"/>
    <numFmt numFmtId="174" formatCode="General\ \o\p\ł\a\t\y"/>
    <numFmt numFmtId="175" formatCode="0\m\3"/>
    <numFmt numFmtId="176" formatCode="#,##0.00\ [$gr]"/>
    <numFmt numFmtId="177" formatCode="0.0000\m\c"/>
  </numFmts>
  <fonts count="64">
    <font>
      <sz val="11"/>
      <color theme="1"/>
      <name val="Calibri"/>
      <family val="2"/>
      <charset val="238"/>
      <scheme val="minor"/>
    </font>
    <font>
      <b/>
      <sz val="9"/>
      <color indexed="81"/>
      <name val="Tahoma"/>
      <family val="2"/>
      <charset val="238"/>
    </font>
    <font>
      <b/>
      <sz val="9"/>
      <color rgb="FF000000"/>
      <name val="Calibri"/>
      <family val="2"/>
      <charset val="238"/>
    </font>
    <font>
      <b/>
      <sz val="14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sz val="12"/>
      <color rgb="FFFFC000"/>
      <name val="Calibri"/>
      <family val="2"/>
      <charset val="238"/>
      <scheme val="minor"/>
    </font>
    <font>
      <b/>
      <sz val="9"/>
      <color rgb="FFFFC000"/>
      <name val="Calibri"/>
      <family val="2"/>
      <charset val="238"/>
      <scheme val="minor"/>
    </font>
    <font>
      <b/>
      <u/>
      <sz val="14"/>
      <color theme="0"/>
      <name val="Calibri"/>
      <family val="2"/>
      <charset val="238"/>
      <scheme val="minor"/>
    </font>
    <font>
      <b/>
      <sz val="10"/>
      <color rgb="FFFFC000"/>
      <name val="Calibri"/>
      <family val="2"/>
      <charset val="238"/>
      <scheme val="minor"/>
    </font>
    <font>
      <b/>
      <sz val="16"/>
      <color theme="0"/>
      <name val="Calibri"/>
      <family val="2"/>
      <charset val="238"/>
      <scheme val="minor"/>
    </font>
    <font>
      <b/>
      <sz val="18"/>
      <color theme="0"/>
      <name val="Calibri"/>
      <family val="2"/>
      <charset val="238"/>
      <scheme val="minor"/>
    </font>
    <font>
      <b/>
      <sz val="10"/>
      <color indexed="81"/>
      <name val="Tahoma"/>
      <family val="2"/>
      <charset val="238"/>
    </font>
    <font>
      <b/>
      <sz val="11"/>
      <color theme="0"/>
      <name val="Calibri"/>
      <family val="2"/>
      <charset val="238"/>
      <scheme val="minor"/>
    </font>
    <font>
      <b/>
      <u/>
      <sz val="11"/>
      <color theme="0"/>
      <name val="Calibri"/>
      <family val="2"/>
      <charset val="238"/>
      <scheme val="minor"/>
    </font>
    <font>
      <b/>
      <sz val="11"/>
      <color rgb="FF00B0F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1"/>
      <color rgb="FFFFC000"/>
      <name val="Calibri"/>
      <family val="2"/>
      <charset val="238"/>
      <scheme val="minor"/>
    </font>
    <font>
      <b/>
      <sz val="8"/>
      <color rgb="FFFFC000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8"/>
      <color rgb="FF000000"/>
      <name val="Calibri"/>
      <family val="2"/>
      <charset val="238"/>
    </font>
    <font>
      <sz val="11"/>
      <color theme="0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u/>
      <sz val="12"/>
      <name val="Calibri"/>
      <family val="2"/>
      <charset val="238"/>
      <scheme val="minor"/>
    </font>
    <font>
      <b/>
      <u/>
      <sz val="11"/>
      <name val="Arial Black"/>
      <family val="2"/>
      <charset val="238"/>
    </font>
    <font>
      <sz val="11"/>
      <color rgb="FFFFC000"/>
      <name val="Calibri"/>
      <family val="2"/>
      <charset val="238"/>
      <scheme val="minor"/>
    </font>
    <font>
      <b/>
      <u/>
      <sz val="12"/>
      <color rgb="FFFFC000"/>
      <name val="Calibri"/>
      <family val="2"/>
      <charset val="238"/>
      <scheme val="minor"/>
    </font>
    <font>
      <b/>
      <u/>
      <sz val="14"/>
      <color theme="1"/>
      <name val="Calibri"/>
      <family val="2"/>
      <charset val="238"/>
      <scheme val="minor"/>
    </font>
    <font>
      <i/>
      <sz val="10"/>
      <color theme="0"/>
      <name val="Calibri"/>
      <family val="2"/>
      <charset val="238"/>
      <scheme val="minor"/>
    </font>
    <font>
      <b/>
      <sz val="11"/>
      <color rgb="FF000000"/>
      <name val="Calibri"/>
      <family val="2"/>
      <charset val="238"/>
    </font>
    <font>
      <sz val="11"/>
      <color rgb="FFFF0000"/>
      <name val="Calibri"/>
      <family val="2"/>
      <charset val="238"/>
      <scheme val="minor"/>
    </font>
    <font>
      <b/>
      <sz val="14"/>
      <color rgb="FFFFC000"/>
      <name val="Calibri"/>
      <family val="2"/>
      <charset val="238"/>
      <scheme val="minor"/>
    </font>
    <font>
      <b/>
      <i/>
      <sz val="11"/>
      <color theme="0"/>
      <name val="Calibri"/>
      <family val="2"/>
      <charset val="238"/>
      <scheme val="minor"/>
    </font>
    <font>
      <b/>
      <sz val="10"/>
      <color theme="7"/>
      <name val="Calibri"/>
      <family val="2"/>
      <charset val="238"/>
      <scheme val="minor"/>
    </font>
    <font>
      <b/>
      <sz val="9"/>
      <color rgb="FFFFFF00"/>
      <name val="Bookman Old Style"/>
      <family val="1"/>
      <charset val="238"/>
    </font>
    <font>
      <u/>
      <sz val="11"/>
      <color theme="10"/>
      <name val="Calibri"/>
      <family val="2"/>
      <charset val="238"/>
      <scheme val="minor"/>
    </font>
    <font>
      <b/>
      <u/>
      <sz val="14"/>
      <color rgb="FFFF0066"/>
      <name val="Calibri"/>
      <family val="2"/>
      <charset val="238"/>
      <scheme val="minor"/>
    </font>
    <font>
      <i/>
      <sz val="12"/>
      <color rgb="FF00FFFF"/>
      <name val="Bookman Old Style"/>
      <family val="1"/>
      <charset val="238"/>
    </font>
    <font>
      <b/>
      <sz val="14"/>
      <color rgb="FFFFC000"/>
      <name val="Bookman Old Style"/>
      <family val="1"/>
      <charset val="238"/>
    </font>
    <font>
      <b/>
      <i/>
      <sz val="16"/>
      <color theme="0"/>
      <name val="Calibri"/>
      <family val="2"/>
      <charset val="238"/>
      <scheme val="minor"/>
    </font>
    <font>
      <b/>
      <u/>
      <sz val="8"/>
      <color theme="0"/>
      <name val="Bookman Old Style"/>
      <family val="1"/>
      <charset val="238"/>
    </font>
    <font>
      <u/>
      <sz val="28"/>
      <color rgb="FFFF0066"/>
      <name val="Bernard MT Condensed"/>
      <family val="1"/>
    </font>
    <font>
      <b/>
      <i/>
      <sz val="16"/>
      <color rgb="FFFF0066"/>
      <name val="Rockwell Extra Bold"/>
      <family val="1"/>
    </font>
    <font>
      <b/>
      <sz val="9"/>
      <color rgb="FFFFC000"/>
      <name val="Bookman Old Style"/>
      <family val="1"/>
      <charset val="238"/>
    </font>
    <font>
      <b/>
      <sz val="13"/>
      <color rgb="FFFF0000"/>
      <name val="Bookman Old Style"/>
      <family val="1"/>
      <charset val="238"/>
    </font>
    <font>
      <b/>
      <sz val="9"/>
      <color rgb="FFFFC000"/>
      <name val="Calibri"/>
      <family val="2"/>
      <charset val="238"/>
    </font>
    <font>
      <b/>
      <sz val="8"/>
      <color rgb="FF00FFFF"/>
      <name val="Calibri"/>
      <family val="2"/>
      <charset val="238"/>
      <scheme val="minor"/>
    </font>
    <font>
      <b/>
      <sz val="9"/>
      <color rgb="FF00FFFF"/>
      <name val="Calibri"/>
      <family val="2"/>
      <charset val="238"/>
      <scheme val="minor"/>
    </font>
    <font>
      <b/>
      <i/>
      <sz val="10"/>
      <color rgb="FFFF0000"/>
      <name val="Calibri Light"/>
      <family val="2"/>
      <charset val="238"/>
      <scheme val="major"/>
    </font>
    <font>
      <b/>
      <u/>
      <sz val="18"/>
      <color rgb="FF00FFFF"/>
      <name val="Bookman Old Style"/>
      <family val="1"/>
      <charset val="238"/>
    </font>
    <font>
      <b/>
      <u/>
      <sz val="20"/>
      <color theme="0"/>
      <name val="Bookman Old Style"/>
      <family val="1"/>
      <charset val="238"/>
    </font>
    <font>
      <b/>
      <u/>
      <sz val="20"/>
      <color rgb="FFC00000"/>
      <name val="Bookman Old Style"/>
      <family val="1"/>
      <charset val="238"/>
    </font>
    <font>
      <b/>
      <u/>
      <sz val="19"/>
      <color rgb="FFFF0066"/>
      <name val="Bookman Old Style"/>
      <family val="1"/>
      <charset val="238"/>
    </font>
    <font>
      <b/>
      <u/>
      <sz val="16"/>
      <color rgb="FF0070C0"/>
      <name val="Bookman Old Style"/>
      <family val="1"/>
      <charset val="238"/>
    </font>
    <font>
      <sz val="22"/>
      <color rgb="FF00FFFF"/>
      <name val="Forte"/>
      <family val="4"/>
    </font>
    <font>
      <b/>
      <sz val="24"/>
      <color rgb="FF00FFFF"/>
      <name val="Old English Text MT"/>
      <family val="1"/>
      <charset val="238"/>
    </font>
    <font>
      <b/>
      <sz val="24"/>
      <color rgb="FF00FFFF"/>
      <name val="Bookman Old Style"/>
      <family val="1"/>
      <charset val="238"/>
    </font>
    <font>
      <b/>
      <sz val="24"/>
      <color rgb="FF00FFFF"/>
      <name val="Old English Text MT"/>
      <family val="4"/>
    </font>
    <font>
      <i/>
      <sz val="10"/>
      <color rgb="FF00FFCC"/>
      <name val="Calibri"/>
      <family val="2"/>
      <charset val="238"/>
      <scheme val="minor"/>
    </font>
    <font>
      <b/>
      <sz val="14"/>
      <color rgb="FF00B050"/>
      <name val="Calibri"/>
      <family val="2"/>
      <charset val="238"/>
      <scheme val="minor"/>
    </font>
    <font>
      <b/>
      <u/>
      <sz val="14"/>
      <color rgb="FFFF0000"/>
      <name val="Calibri"/>
      <family val="2"/>
      <charset val="238"/>
      <scheme val="minor"/>
    </font>
    <font>
      <b/>
      <sz val="10"/>
      <color rgb="FF00FFFF"/>
      <name val="Bookman Old Style"/>
      <family val="1"/>
      <charset val="238"/>
    </font>
  </fonts>
  <fills count="2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0F2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darkGray">
        <bgColor rgb="FFFFC000"/>
      </patternFill>
    </fill>
    <fill>
      <patternFill patternType="solid">
        <fgColor rgb="FFFF0000"/>
        <bgColor indexed="64"/>
      </patternFill>
    </fill>
    <fill>
      <patternFill patternType="gray125">
        <fgColor theme="0"/>
        <bgColor theme="1"/>
      </patternFill>
    </fill>
    <fill>
      <patternFill patternType="solid">
        <fgColor rgb="FF002B8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3399"/>
        <bgColor indexed="64"/>
      </patternFill>
    </fill>
    <fill>
      <patternFill patternType="darkGrid">
        <bgColor rgb="FFC00000"/>
      </patternFill>
    </fill>
    <fill>
      <patternFill patternType="darkGrid">
        <bgColor theme="0"/>
      </patternFill>
    </fill>
    <fill>
      <patternFill patternType="solid">
        <fgColor rgb="FFC00000"/>
        <bgColor indexed="64"/>
      </patternFill>
    </fill>
  </fills>
  <borders count="12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 style="medium">
        <color rgb="FF00B0F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thick">
        <color auto="1"/>
      </right>
      <top style="dashed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thick">
        <color auto="1"/>
      </bottom>
      <diagonal/>
    </border>
    <border>
      <left style="dashed">
        <color auto="1"/>
      </left>
      <right style="thick">
        <color auto="1"/>
      </right>
      <top style="dashed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medium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thick">
        <color auto="1"/>
      </right>
      <top/>
      <bottom style="dashed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/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/>
      <top/>
      <bottom/>
      <diagonal/>
    </border>
    <border>
      <left style="thick">
        <color rgb="FF00B0F0"/>
      </left>
      <right style="medium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rgb="FF00B0F0"/>
      </left>
      <right style="medium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ck">
        <color rgb="FF00B0F0"/>
      </left>
      <right style="medium">
        <color rgb="FF00B0F0"/>
      </right>
      <top style="thick">
        <color rgb="FF00B0F0"/>
      </top>
      <bottom style="medium">
        <color rgb="FF00B0F0"/>
      </bottom>
      <diagonal/>
    </border>
    <border>
      <left style="medium">
        <color rgb="FF00B0F0"/>
      </left>
      <right style="medium">
        <color rgb="FF00B0F0"/>
      </right>
      <top style="thick">
        <color rgb="FF00B0F0"/>
      </top>
      <bottom style="medium">
        <color rgb="FF00B0F0"/>
      </bottom>
      <diagonal/>
    </border>
    <border>
      <left style="medium">
        <color rgb="FF00B0F0"/>
      </left>
      <right style="thick">
        <color rgb="FF00B0F0"/>
      </right>
      <top style="thick">
        <color rgb="FF00B0F0"/>
      </top>
      <bottom style="medium">
        <color rgb="FF00B0F0"/>
      </bottom>
      <diagonal/>
    </border>
    <border>
      <left style="thick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ck">
        <color rgb="FF00B0F0"/>
      </left>
      <right style="medium">
        <color rgb="FF00B0F0"/>
      </right>
      <top style="medium">
        <color rgb="FF00B0F0"/>
      </top>
      <bottom style="thick">
        <color rgb="FF00B0F0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rgb="FF00B0F0"/>
      </left>
      <right/>
      <top/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/>
      <top/>
      <bottom/>
      <diagonal/>
    </border>
    <border>
      <left/>
      <right style="thick">
        <color rgb="FF00B0F0"/>
      </right>
      <top/>
      <bottom/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ck">
        <color auto="1"/>
      </left>
      <right/>
      <top/>
      <bottom style="medium">
        <color rgb="FF00B0F0"/>
      </bottom>
      <diagonal/>
    </border>
    <border>
      <left style="thick">
        <color auto="1"/>
      </left>
      <right/>
      <top style="thick">
        <color rgb="FF00B0F0"/>
      </top>
      <bottom/>
      <diagonal/>
    </border>
    <border>
      <left style="thick">
        <color auto="1"/>
      </left>
      <right/>
      <top/>
      <bottom style="thick">
        <color rgb="FF00B0F0"/>
      </bottom>
      <diagonal/>
    </border>
    <border>
      <left style="thick">
        <color auto="1"/>
      </left>
      <right style="double">
        <color rgb="FF00B0F0"/>
      </right>
      <top/>
      <bottom/>
      <diagonal/>
    </border>
    <border>
      <left/>
      <right style="medium">
        <color rgb="FF00B0F0"/>
      </right>
      <top/>
      <bottom/>
      <diagonal/>
    </border>
    <border>
      <left style="medium">
        <color rgb="FF00B0F0"/>
      </left>
      <right style="medium">
        <color rgb="FF00B0F0"/>
      </right>
      <top/>
      <bottom/>
      <diagonal/>
    </border>
    <border>
      <left style="medium">
        <color rgb="FF00B0F0"/>
      </left>
      <right/>
      <top/>
      <bottom style="thick">
        <color rgb="FF00B0F0"/>
      </bottom>
      <diagonal/>
    </border>
    <border>
      <left style="medium">
        <color rgb="FF00B0F0"/>
      </left>
      <right/>
      <top style="thick">
        <color rgb="FF00B0F0"/>
      </top>
      <bottom style="thick">
        <color rgb="FF00B0F0"/>
      </bottom>
      <diagonal/>
    </border>
    <border>
      <left style="thick">
        <color rgb="FF00B0F0"/>
      </left>
      <right/>
      <top style="thick">
        <color auto="1"/>
      </top>
      <bottom/>
      <diagonal/>
    </border>
    <border>
      <left style="thick">
        <color rgb="FF00B0F0"/>
      </left>
      <right/>
      <top/>
      <bottom style="thick">
        <color auto="1"/>
      </bottom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/>
      <bottom style="thick">
        <color rgb="FF00B0F0"/>
      </bottom>
      <diagonal/>
    </border>
    <border>
      <left/>
      <right style="double">
        <color rgb="FF00B0F0"/>
      </right>
      <top/>
      <bottom style="thick">
        <color rgb="FF00B0F0"/>
      </bottom>
      <diagonal/>
    </border>
    <border>
      <left style="double">
        <color rgb="FF00FFFF"/>
      </left>
      <right style="thick">
        <color auto="1"/>
      </right>
      <top style="double">
        <color rgb="FF00FFFF"/>
      </top>
      <bottom style="thick">
        <color auto="1"/>
      </bottom>
      <diagonal/>
    </border>
    <border>
      <left/>
      <right/>
      <top style="double">
        <color rgb="FF00FFFF"/>
      </top>
      <bottom/>
      <diagonal/>
    </border>
    <border>
      <left/>
      <right style="thick">
        <color auto="1"/>
      </right>
      <top style="double">
        <color rgb="FF00FFFF"/>
      </top>
      <bottom style="medium">
        <color auto="1"/>
      </bottom>
      <diagonal/>
    </border>
    <border>
      <left style="thick">
        <color auto="1"/>
      </left>
      <right/>
      <top style="double">
        <color rgb="FF00FFFF"/>
      </top>
      <bottom style="thick">
        <color auto="1"/>
      </bottom>
      <diagonal/>
    </border>
    <border>
      <left/>
      <right style="thick">
        <color auto="1"/>
      </right>
      <top style="double">
        <color rgb="FF00FFFF"/>
      </top>
      <bottom style="thick">
        <color auto="1"/>
      </bottom>
      <diagonal/>
    </border>
    <border>
      <left/>
      <right style="thick">
        <color auto="1"/>
      </right>
      <top style="double">
        <color rgb="FF00FFFF"/>
      </top>
      <bottom/>
      <diagonal/>
    </border>
    <border>
      <left style="thick">
        <color auto="1"/>
      </left>
      <right style="thick">
        <color auto="1"/>
      </right>
      <top style="double">
        <color rgb="FF00FFFF"/>
      </top>
      <bottom style="thick">
        <color auto="1"/>
      </bottom>
      <diagonal/>
    </border>
    <border>
      <left style="double">
        <color rgb="FF00FFFF"/>
      </left>
      <right style="thick">
        <color auto="1"/>
      </right>
      <top/>
      <bottom style="medium">
        <color auto="1"/>
      </bottom>
      <diagonal/>
    </border>
    <border>
      <left style="double">
        <color rgb="FF00FFFF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rgb="FF00FFFF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double">
        <color rgb="FF00FFFF"/>
      </left>
      <right style="medium">
        <color auto="1"/>
      </right>
      <top style="medium">
        <color auto="1"/>
      </top>
      <bottom/>
      <diagonal/>
    </border>
    <border>
      <left style="double">
        <color rgb="FF00FFFF"/>
      </left>
      <right/>
      <top style="thick">
        <color auto="1"/>
      </top>
      <bottom/>
      <diagonal/>
    </border>
    <border>
      <left style="double">
        <color rgb="FF00FFFF"/>
      </left>
      <right/>
      <top/>
      <bottom/>
      <diagonal/>
    </border>
    <border>
      <left style="double">
        <color rgb="FF00FFFF"/>
      </left>
      <right/>
      <top/>
      <bottom style="thick">
        <color auto="1"/>
      </bottom>
      <diagonal/>
    </border>
    <border>
      <left/>
      <right style="double">
        <color rgb="FF00FFFF"/>
      </right>
      <top style="thick">
        <color auto="1"/>
      </top>
      <bottom/>
      <diagonal/>
    </border>
    <border>
      <left/>
      <right style="double">
        <color rgb="FF00FFFF"/>
      </right>
      <top/>
      <bottom/>
      <diagonal/>
    </border>
    <border>
      <left style="double">
        <color rgb="FF00FFFF"/>
      </left>
      <right/>
      <top/>
      <bottom style="double">
        <color rgb="FF00FFFF"/>
      </bottom>
      <diagonal/>
    </border>
    <border>
      <left/>
      <right/>
      <top/>
      <bottom style="double">
        <color rgb="FF00FFFF"/>
      </bottom>
      <diagonal/>
    </border>
    <border>
      <left/>
      <right style="thick">
        <color auto="1"/>
      </right>
      <top/>
      <bottom style="double">
        <color rgb="FF00FFFF"/>
      </bottom>
      <diagonal/>
    </border>
    <border>
      <left style="thick">
        <color auto="1"/>
      </left>
      <right/>
      <top/>
      <bottom style="double">
        <color rgb="FF00FFFF"/>
      </bottom>
      <diagonal/>
    </border>
    <border>
      <left/>
      <right style="double">
        <color rgb="FF00FFFF"/>
      </right>
      <top/>
      <bottom style="double">
        <color rgb="FF00FFFF"/>
      </bottom>
      <diagonal/>
    </border>
    <border>
      <left style="double">
        <color rgb="FF00FFFF"/>
      </left>
      <right/>
      <top style="double">
        <color rgb="FF00FFFF"/>
      </top>
      <bottom/>
      <diagonal/>
    </border>
    <border>
      <left/>
      <right style="double">
        <color rgb="FF00FFFF"/>
      </right>
      <top style="double">
        <color rgb="FF00FFFF"/>
      </top>
      <bottom/>
      <diagonal/>
    </border>
    <border>
      <left style="thick">
        <color auto="1"/>
      </left>
      <right/>
      <top style="double">
        <color rgb="FF00FFFF"/>
      </top>
      <bottom/>
      <diagonal/>
    </border>
    <border>
      <left style="double">
        <color rgb="FF00B0F0"/>
      </left>
      <right style="medium">
        <color rgb="FF00B0F0"/>
      </right>
      <top style="double">
        <color rgb="FF00B0F0"/>
      </top>
      <bottom style="double">
        <color rgb="FF00B0F0"/>
      </bottom>
      <diagonal/>
    </border>
    <border>
      <left style="thick">
        <color auto="1"/>
      </left>
      <right style="double">
        <color rgb="FF00B0F0"/>
      </right>
      <top style="medium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medium">
        <color rgb="FF00B0F0"/>
      </top>
      <bottom style="double">
        <color rgb="FF00B0F0"/>
      </bottom>
      <diagonal/>
    </border>
    <border>
      <left style="double">
        <color rgb="FF00B0F0"/>
      </left>
      <right/>
      <top style="medium">
        <color rgb="FF00B0F0"/>
      </top>
      <bottom style="double">
        <color rgb="FF00B0F0"/>
      </bottom>
      <diagonal/>
    </border>
    <border>
      <left style="thick">
        <color auto="1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thick">
        <color auto="1"/>
      </left>
      <right style="double">
        <color rgb="FF00B0F0"/>
      </right>
      <top style="double">
        <color rgb="FF00B0F0"/>
      </top>
      <bottom style="thick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thick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medium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medium">
        <color rgb="FF00B0F0"/>
      </right>
      <top style="double">
        <color rgb="FF00B0F0"/>
      </top>
      <bottom/>
      <diagonal/>
    </border>
  </borders>
  <cellStyleXfs count="2">
    <xf numFmtId="0" fontId="0" fillId="0" borderId="0"/>
    <xf numFmtId="0" fontId="37" fillId="0" borderId="0" applyNumberFormat="0" applyFill="0" applyBorder="0" applyAlignment="0" applyProtection="0"/>
  </cellStyleXfs>
  <cellXfs count="373">
    <xf numFmtId="0" fontId="0" fillId="0" borderId="0" xfId="0"/>
    <xf numFmtId="14" fontId="0" fillId="0" borderId="0" xfId="0" applyNumberFormat="1"/>
    <xf numFmtId="166" fontId="0" fillId="0" borderId="0" xfId="0" applyNumberFormat="1"/>
    <xf numFmtId="9" fontId="0" fillId="0" borderId="0" xfId="0" applyNumberFormat="1"/>
    <xf numFmtId="0" fontId="0" fillId="3" borderId="0" xfId="0" applyFill="1"/>
    <xf numFmtId="0" fontId="0" fillId="4" borderId="0" xfId="0" applyFill="1"/>
    <xf numFmtId="14" fontId="0" fillId="4" borderId="0" xfId="0" applyNumberFormat="1" applyFill="1"/>
    <xf numFmtId="166" fontId="0" fillId="4" borderId="0" xfId="0" applyNumberFormat="1" applyFill="1"/>
    <xf numFmtId="0" fontId="0" fillId="2" borderId="0" xfId="0" applyFill="1"/>
    <xf numFmtId="0" fontId="0" fillId="8" borderId="32" xfId="0" applyFill="1" applyBorder="1"/>
    <xf numFmtId="0" fontId="0" fillId="8" borderId="0" xfId="0" applyFill="1"/>
    <xf numFmtId="0" fontId="0" fillId="8" borderId="33" xfId="0" applyFill="1" applyBorder="1"/>
    <xf numFmtId="0" fontId="0" fillId="8" borderId="34" xfId="0" applyFill="1" applyBorder="1"/>
    <xf numFmtId="0" fontId="0" fillId="8" borderId="13" xfId="0" applyFill="1" applyBorder="1"/>
    <xf numFmtId="172" fontId="18" fillId="7" borderId="36" xfId="0" applyNumberFormat="1" applyFont="1" applyFill="1" applyBorder="1" applyAlignment="1" applyProtection="1">
      <alignment horizontal="center" vertical="center"/>
      <protection locked="0" hidden="1"/>
    </xf>
    <xf numFmtId="0" fontId="4" fillId="6" borderId="14" xfId="0" applyFont="1" applyFill="1" applyBorder="1" applyAlignment="1" applyProtection="1">
      <alignment vertical="center"/>
      <protection hidden="1"/>
    </xf>
    <xf numFmtId="0" fontId="4" fillId="6" borderId="15" xfId="0" applyFont="1" applyFill="1" applyBorder="1" applyAlignment="1" applyProtection="1">
      <alignment vertical="center"/>
      <protection hidden="1"/>
    </xf>
    <xf numFmtId="0" fontId="4" fillId="6" borderId="17" xfId="0" applyFont="1" applyFill="1" applyBorder="1" applyAlignment="1" applyProtection="1">
      <alignment vertical="center"/>
      <protection hidden="1"/>
    </xf>
    <xf numFmtId="0" fontId="16" fillId="2" borderId="7" xfId="0" applyFont="1" applyFill="1" applyBorder="1" applyAlignment="1" applyProtection="1">
      <alignment horizontal="center" vertical="center"/>
      <protection hidden="1"/>
    </xf>
    <xf numFmtId="0" fontId="0" fillId="8" borderId="38" xfId="0" applyFill="1" applyBorder="1"/>
    <xf numFmtId="0" fontId="0" fillId="8" borderId="39" xfId="0" applyFill="1" applyBorder="1"/>
    <xf numFmtId="0" fontId="0" fillId="8" borderId="40" xfId="0" applyFill="1" applyBorder="1"/>
    <xf numFmtId="165" fontId="19" fillId="7" borderId="7" xfId="0" applyNumberFormat="1" applyFont="1" applyFill="1" applyBorder="1" applyProtection="1">
      <protection hidden="1"/>
    </xf>
    <xf numFmtId="165" fontId="15" fillId="5" borderId="25" xfId="0" applyNumberFormat="1" applyFont="1" applyFill="1" applyBorder="1" applyProtection="1">
      <protection locked="0"/>
    </xf>
    <xf numFmtId="165" fontId="15" fillId="5" borderId="16" xfId="0" applyNumberFormat="1" applyFont="1" applyFill="1" applyBorder="1" applyProtection="1">
      <protection locked="0"/>
    </xf>
    <xf numFmtId="165" fontId="15" fillId="5" borderId="18" xfId="0" applyNumberFormat="1" applyFont="1" applyFill="1" applyBorder="1" applyProtection="1">
      <protection locked="0"/>
    </xf>
    <xf numFmtId="165" fontId="18" fillId="7" borderId="8" xfId="0" applyNumberFormat="1" applyFont="1" applyFill="1" applyBorder="1" applyAlignment="1" applyProtection="1">
      <alignment horizontal="center" vertical="center"/>
      <protection locked="0" hidden="1"/>
    </xf>
    <xf numFmtId="165" fontId="18" fillId="7" borderId="1" xfId="0" applyNumberFormat="1" applyFont="1" applyFill="1" applyBorder="1" applyAlignment="1" applyProtection="1">
      <alignment horizontal="center" vertical="center"/>
      <protection locked="0" hidden="1"/>
    </xf>
    <xf numFmtId="172" fontId="18" fillId="7" borderId="27" xfId="0" applyNumberFormat="1" applyFont="1" applyFill="1" applyBorder="1" applyAlignment="1" applyProtection="1">
      <alignment horizontal="center" vertical="center"/>
      <protection locked="0" hidden="1"/>
    </xf>
    <xf numFmtId="172" fontId="22" fillId="7" borderId="3" xfId="0" applyNumberFormat="1" applyFont="1" applyFill="1" applyBorder="1" applyAlignment="1" applyProtection="1">
      <alignment horizontal="center" vertical="center"/>
      <protection hidden="1"/>
    </xf>
    <xf numFmtId="172" fontId="22" fillId="7" borderId="19" xfId="0" applyNumberFormat="1" applyFont="1" applyFill="1" applyBorder="1" applyAlignment="1" applyProtection="1">
      <alignment horizontal="center" vertical="center"/>
      <protection hidden="1"/>
    </xf>
    <xf numFmtId="172" fontId="22" fillId="7" borderId="21" xfId="0" applyNumberFormat="1" applyFont="1" applyFill="1" applyBorder="1" applyAlignment="1" applyProtection="1">
      <alignment horizontal="center" vertical="center"/>
      <protection hidden="1"/>
    </xf>
    <xf numFmtId="171" fontId="4" fillId="7" borderId="23" xfId="0" applyNumberFormat="1" applyFont="1" applyFill="1" applyBorder="1" applyAlignment="1" applyProtection="1">
      <alignment horizontal="center"/>
      <protection locked="0" hidden="1"/>
    </xf>
    <xf numFmtId="171" fontId="4" fillId="7" borderId="47" xfId="0" applyNumberFormat="1" applyFont="1" applyFill="1" applyBorder="1" applyAlignment="1" applyProtection="1">
      <alignment horizontal="center"/>
      <protection locked="0" hidden="1"/>
    </xf>
    <xf numFmtId="173" fontId="14" fillId="3" borderId="1" xfId="0" applyNumberFormat="1" applyFont="1" applyFill="1" applyBorder="1" applyAlignment="1" applyProtection="1">
      <alignment horizontal="center" vertical="center"/>
      <protection hidden="1"/>
    </xf>
    <xf numFmtId="0" fontId="16" fillId="2" borderId="24" xfId="0" applyFont="1" applyFill="1" applyBorder="1" applyAlignment="1" applyProtection="1">
      <alignment horizontal="center" vertical="center"/>
      <protection hidden="1"/>
    </xf>
    <xf numFmtId="165" fontId="25" fillId="7" borderId="46" xfId="0" applyNumberFormat="1" applyFont="1" applyFill="1" applyBorder="1" applyAlignment="1" applyProtection="1">
      <alignment horizontal="center" vertical="center"/>
      <protection locked="0" hidden="1"/>
    </xf>
    <xf numFmtId="0" fontId="0" fillId="8" borderId="11" xfId="0" applyFill="1" applyBorder="1" applyProtection="1">
      <protection hidden="1"/>
    </xf>
    <xf numFmtId="0" fontId="0" fillId="8" borderId="31" xfId="0" applyFill="1" applyBorder="1" applyProtection="1">
      <protection hidden="1"/>
    </xf>
    <xf numFmtId="174" fontId="23" fillId="7" borderId="7" xfId="0" applyNumberFormat="1" applyFont="1" applyFill="1" applyBorder="1" applyAlignment="1" applyProtection="1">
      <alignment horizontal="center" vertical="center"/>
      <protection hidden="1"/>
    </xf>
    <xf numFmtId="171" fontId="12" fillId="10" borderId="41" xfId="0" applyNumberFormat="1" applyFont="1" applyFill="1" applyBorder="1" applyAlignment="1" applyProtection="1">
      <alignment horizontal="center"/>
      <protection hidden="1"/>
    </xf>
    <xf numFmtId="0" fontId="17" fillId="3" borderId="50" xfId="0" applyFont="1" applyFill="1" applyBorder="1" applyAlignment="1">
      <alignment horizontal="center" vertical="center" wrapText="1"/>
    </xf>
    <xf numFmtId="0" fontId="17" fillId="3" borderId="51" xfId="0" applyFont="1" applyFill="1" applyBorder="1" applyAlignment="1">
      <alignment horizontal="center" vertical="center" wrapText="1"/>
    </xf>
    <xf numFmtId="0" fontId="17" fillId="3" borderId="52" xfId="0" applyFont="1" applyFill="1" applyBorder="1" applyAlignment="1">
      <alignment horizontal="center" vertical="center" wrapText="1"/>
    </xf>
    <xf numFmtId="14" fontId="21" fillId="2" borderId="53" xfId="0" applyNumberFormat="1" applyFont="1" applyFill="1" applyBorder="1"/>
    <xf numFmtId="165" fontId="21" fillId="2" borderId="54" xfId="0" applyNumberFormat="1" applyFont="1" applyFill="1" applyBorder="1"/>
    <xf numFmtId="0" fontId="21" fillId="2" borderId="54" xfId="0" applyFont="1" applyFill="1" applyBorder="1"/>
    <xf numFmtId="14" fontId="21" fillId="2" borderId="56" xfId="0" applyNumberFormat="1" applyFont="1" applyFill="1" applyBorder="1"/>
    <xf numFmtId="165" fontId="21" fillId="2" borderId="4" xfId="0" applyNumberFormat="1" applyFont="1" applyFill="1" applyBorder="1"/>
    <xf numFmtId="0" fontId="21" fillId="2" borderId="4" xfId="0" applyFont="1" applyFill="1" applyBorder="1"/>
    <xf numFmtId="14" fontId="21" fillId="2" borderId="57" xfId="0" applyNumberFormat="1" applyFont="1" applyFill="1" applyBorder="1"/>
    <xf numFmtId="165" fontId="21" fillId="2" borderId="58" xfId="0" applyNumberFormat="1" applyFont="1" applyFill="1" applyBorder="1"/>
    <xf numFmtId="0" fontId="21" fillId="2" borderId="58" xfId="0" applyFont="1" applyFill="1" applyBorder="1"/>
    <xf numFmtId="165" fontId="27" fillId="3" borderId="55" xfId="0" applyNumberFormat="1" applyFont="1" applyFill="1" applyBorder="1"/>
    <xf numFmtId="175" fontId="21" fillId="2" borderId="8" xfId="0" applyNumberFormat="1" applyFont="1" applyFill="1" applyBorder="1" applyAlignment="1">
      <alignment wrapText="1"/>
    </xf>
    <xf numFmtId="167" fontId="21" fillId="2" borderId="1" xfId="0" applyNumberFormat="1" applyFont="1" applyFill="1" applyBorder="1" applyAlignment="1">
      <alignment horizontal="right" vertical="center"/>
    </xf>
    <xf numFmtId="167" fontId="21" fillId="2" borderId="36" xfId="0" applyNumberFormat="1" applyFont="1" applyFill="1" applyBorder="1" applyAlignment="1">
      <alignment horizontal="right" vertical="center"/>
    </xf>
    <xf numFmtId="9" fontId="21" fillId="2" borderId="1" xfId="0" applyNumberFormat="1" applyFont="1" applyFill="1" applyBorder="1" applyAlignment="1">
      <alignment horizontal="right" vertical="center"/>
    </xf>
    <xf numFmtId="176" fontId="21" fillId="2" borderId="1" xfId="0" applyNumberFormat="1" applyFont="1" applyFill="1" applyBorder="1" applyAlignment="1">
      <alignment horizontal="right" vertical="center"/>
    </xf>
    <xf numFmtId="176" fontId="21" fillId="2" borderId="36" xfId="0" applyNumberFormat="1" applyFont="1" applyFill="1" applyBorder="1" applyAlignment="1">
      <alignment horizontal="right" vertical="center"/>
    </xf>
    <xf numFmtId="9" fontId="21" fillId="2" borderId="27" xfId="0" applyNumberFormat="1" applyFont="1" applyFill="1" applyBorder="1" applyAlignment="1">
      <alignment horizontal="right" vertical="center"/>
    </xf>
    <xf numFmtId="165" fontId="3" fillId="10" borderId="47" xfId="0" applyNumberFormat="1" applyFont="1" applyFill="1" applyBorder="1" applyAlignment="1">
      <alignment horizontal="right" vertical="center"/>
    </xf>
    <xf numFmtId="0" fontId="5" fillId="3" borderId="48" xfId="0" applyFont="1" applyFill="1" applyBorder="1" applyAlignment="1">
      <alignment horizontal="center" vertical="center"/>
    </xf>
    <xf numFmtId="14" fontId="29" fillId="7" borderId="9" xfId="0" applyNumberFormat="1" applyFont="1" applyFill="1" applyBorder="1" applyAlignment="1">
      <alignment horizontal="center" vertical="center"/>
    </xf>
    <xf numFmtId="165" fontId="16" fillId="3" borderId="1" xfId="0" applyNumberFormat="1" applyFont="1" applyFill="1" applyBorder="1" applyAlignment="1">
      <alignment horizontal="right" vertical="center"/>
    </xf>
    <xf numFmtId="165" fontId="16" fillId="3" borderId="36" xfId="0" applyNumberFormat="1" applyFont="1" applyFill="1" applyBorder="1" applyAlignment="1">
      <alignment horizontal="right" vertical="center"/>
    </xf>
    <xf numFmtId="165" fontId="16" fillId="3" borderId="63" xfId="0" applyNumberFormat="1" applyFont="1" applyFill="1" applyBorder="1" applyAlignment="1">
      <alignment horizontal="right" vertical="center"/>
    </xf>
    <xf numFmtId="165" fontId="16" fillId="3" borderId="29" xfId="0" applyNumberFormat="1" applyFont="1" applyFill="1" applyBorder="1" applyAlignment="1">
      <alignment horizontal="right" vertical="center"/>
    </xf>
    <xf numFmtId="175" fontId="16" fillId="3" borderId="62" xfId="0" applyNumberFormat="1" applyFont="1" applyFill="1" applyBorder="1" applyAlignment="1">
      <alignment wrapText="1"/>
    </xf>
    <xf numFmtId="177" fontId="21" fillId="2" borderId="1" xfId="0" applyNumberFormat="1" applyFont="1" applyFill="1" applyBorder="1" applyAlignment="1">
      <alignment horizontal="right" vertical="center"/>
    </xf>
    <xf numFmtId="0" fontId="6" fillId="3" borderId="61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8" fillId="3" borderId="63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 wrapText="1"/>
    </xf>
    <xf numFmtId="0" fontId="8" fillId="3" borderId="48" xfId="0" applyFont="1" applyFill="1" applyBorder="1" applyAlignment="1">
      <alignment horizontal="center" vertical="center" wrapText="1"/>
    </xf>
    <xf numFmtId="0" fontId="0" fillId="12" borderId="0" xfId="0" applyFill="1"/>
    <xf numFmtId="0" fontId="0" fillId="12" borderId="0" xfId="0" applyFill="1" applyAlignment="1">
      <alignment wrapText="1"/>
    </xf>
    <xf numFmtId="14" fontId="0" fillId="12" borderId="0" xfId="0" applyNumberFormat="1" applyFill="1"/>
    <xf numFmtId="0" fontId="0" fillId="12" borderId="32" xfId="0" applyFill="1" applyBorder="1"/>
    <xf numFmtId="0" fontId="0" fillId="8" borderId="30" xfId="0" applyFill="1" applyBorder="1"/>
    <xf numFmtId="0" fontId="0" fillId="8" borderId="11" xfId="0" applyFill="1" applyBorder="1"/>
    <xf numFmtId="165" fontId="32" fillId="2" borderId="0" xfId="0" applyNumberFormat="1" applyFont="1" applyFill="1"/>
    <xf numFmtId="14" fontId="32" fillId="2" borderId="0" xfId="0" applyNumberFormat="1" applyFont="1" applyFill="1"/>
    <xf numFmtId="0" fontId="0" fillId="8" borderId="0" xfId="0" applyFill="1" applyAlignment="1">
      <alignment horizontal="center"/>
    </xf>
    <xf numFmtId="0" fontId="39" fillId="3" borderId="0" xfId="0" applyFont="1" applyFill="1" applyAlignment="1">
      <alignment wrapText="1"/>
    </xf>
    <xf numFmtId="0" fontId="38" fillId="3" borderId="0" xfId="1" applyFont="1" applyFill="1" applyBorder="1" applyAlignment="1">
      <alignment vertical="center"/>
    </xf>
    <xf numFmtId="0" fontId="27" fillId="3" borderId="0" xfId="0" applyFont="1" applyFill="1"/>
    <xf numFmtId="0" fontId="36" fillId="3" borderId="0" xfId="0" applyFont="1" applyFill="1" applyAlignment="1">
      <alignment vertical="top" wrapText="1"/>
    </xf>
    <xf numFmtId="0" fontId="0" fillId="0" borderId="11" xfId="0" applyBorder="1"/>
    <xf numFmtId="0" fontId="0" fillId="3" borderId="67" xfId="0" applyFill="1" applyBorder="1"/>
    <xf numFmtId="0" fontId="39" fillId="3" borderId="67" xfId="0" applyFont="1" applyFill="1" applyBorder="1" applyAlignment="1">
      <alignment wrapText="1"/>
    </xf>
    <xf numFmtId="0" fontId="39" fillId="3" borderId="68" xfId="0" applyFont="1" applyFill="1" applyBorder="1" applyAlignment="1">
      <alignment wrapText="1"/>
    </xf>
    <xf numFmtId="0" fontId="0" fillId="3" borderId="70" xfId="0" applyFill="1" applyBorder="1"/>
    <xf numFmtId="0" fontId="27" fillId="3" borderId="70" xfId="0" applyFont="1" applyFill="1" applyBorder="1"/>
    <xf numFmtId="0" fontId="36" fillId="3" borderId="70" xfId="0" applyFont="1" applyFill="1" applyBorder="1" applyAlignment="1">
      <alignment vertical="top" wrapText="1"/>
    </xf>
    <xf numFmtId="0" fontId="0" fillId="3" borderId="59" xfId="0" applyFill="1" applyBorder="1"/>
    <xf numFmtId="0" fontId="0" fillId="13" borderId="0" xfId="0" applyFill="1"/>
    <xf numFmtId="0" fontId="0" fillId="13" borderId="32" xfId="0" applyFill="1" applyBorder="1"/>
    <xf numFmtId="0" fontId="0" fillId="13" borderId="74" xfId="0" applyFill="1" applyBorder="1"/>
    <xf numFmtId="0" fontId="0" fillId="13" borderId="67" xfId="0" applyFill="1" applyBorder="1"/>
    <xf numFmtId="0" fontId="0" fillId="13" borderId="68" xfId="0" applyFill="1" applyBorder="1"/>
    <xf numFmtId="0" fontId="0" fillId="13" borderId="70" xfId="0" applyFill="1" applyBorder="1"/>
    <xf numFmtId="0" fontId="0" fillId="13" borderId="59" xfId="0" applyFill="1" applyBorder="1"/>
    <xf numFmtId="0" fontId="0" fillId="13" borderId="72" xfId="0" applyFill="1" applyBorder="1"/>
    <xf numFmtId="168" fontId="43" fillId="8" borderId="76" xfId="0" applyNumberFormat="1" applyFont="1" applyFill="1" applyBorder="1" applyAlignment="1" applyProtection="1">
      <alignment horizontal="center" vertical="center"/>
      <protection locked="0" hidden="1"/>
    </xf>
    <xf numFmtId="0" fontId="0" fillId="8" borderId="66" xfId="0" applyFill="1" applyBorder="1"/>
    <xf numFmtId="0" fontId="0" fillId="8" borderId="67" xfId="0" applyFill="1" applyBorder="1" applyAlignment="1">
      <alignment horizontal="center"/>
    </xf>
    <xf numFmtId="0" fontId="0" fillId="8" borderId="71" xfId="0" applyFill="1" applyBorder="1"/>
    <xf numFmtId="0" fontId="0" fillId="8" borderId="59" xfId="0" applyFill="1" applyBorder="1" applyAlignment="1">
      <alignment horizontal="center"/>
    </xf>
    <xf numFmtId="14" fontId="48" fillId="3" borderId="73" xfId="0" applyNumberFormat="1" applyFont="1" applyFill="1" applyBorder="1" applyAlignment="1" applyProtection="1">
      <alignment horizontal="center" vertical="center" wrapText="1"/>
      <protection hidden="1"/>
    </xf>
    <xf numFmtId="14" fontId="48" fillId="3" borderId="5" xfId="0" applyNumberFormat="1" applyFont="1" applyFill="1" applyBorder="1" applyAlignment="1" applyProtection="1">
      <alignment horizontal="center" vertical="center" wrapText="1"/>
      <protection hidden="1"/>
    </xf>
    <xf numFmtId="166" fontId="48" fillId="3" borderId="5" xfId="0" applyNumberFormat="1" applyFont="1" applyFill="1" applyBorder="1" applyAlignment="1" applyProtection="1">
      <alignment horizontal="center" vertical="center" wrapText="1"/>
      <protection hidden="1"/>
    </xf>
    <xf numFmtId="0" fontId="48" fillId="3" borderId="5" xfId="0" applyFont="1" applyFill="1" applyBorder="1" applyAlignment="1" applyProtection="1">
      <alignment horizontal="center" vertical="center" wrapText="1"/>
      <protection hidden="1"/>
    </xf>
    <xf numFmtId="0" fontId="48" fillId="3" borderId="6" xfId="0" applyFont="1" applyFill="1" applyBorder="1" applyAlignment="1" applyProtection="1">
      <alignment horizontal="center" vertical="center" wrapText="1"/>
      <protection hidden="1"/>
    </xf>
    <xf numFmtId="0" fontId="49" fillId="3" borderId="78" xfId="0" applyFont="1" applyFill="1" applyBorder="1" applyAlignment="1" applyProtection="1">
      <alignment horizontal="center" vertical="center" wrapText="1"/>
      <protection hidden="1"/>
    </xf>
    <xf numFmtId="165" fontId="9" fillId="14" borderId="78" xfId="0" applyNumberFormat="1" applyFont="1" applyFill="1" applyBorder="1" applyAlignment="1" applyProtection="1">
      <alignment horizontal="center" vertical="center"/>
      <protection hidden="1"/>
    </xf>
    <xf numFmtId="165" fontId="10" fillId="14" borderId="77" xfId="0" applyNumberFormat="1" applyFont="1" applyFill="1" applyBorder="1" applyAlignment="1" applyProtection="1">
      <alignment horizontal="center" vertical="center"/>
      <protection hidden="1"/>
    </xf>
    <xf numFmtId="165" fontId="9" fillId="14" borderId="80" xfId="0" applyNumberFormat="1" applyFont="1" applyFill="1" applyBorder="1" applyAlignment="1" applyProtection="1">
      <alignment horizontal="center" vertical="center"/>
      <protection hidden="1"/>
    </xf>
    <xf numFmtId="0" fontId="0" fillId="3" borderId="67" xfId="0" applyFill="1" applyBorder="1" applyProtection="1">
      <protection hidden="1"/>
    </xf>
    <xf numFmtId="0" fontId="4" fillId="3" borderId="67" xfId="0" applyFont="1" applyFill="1" applyBorder="1" applyAlignment="1">
      <alignment vertical="top"/>
    </xf>
    <xf numFmtId="0" fontId="0" fillId="8" borderId="67" xfId="0" applyFill="1" applyBorder="1"/>
    <xf numFmtId="0" fontId="0" fillId="8" borderId="59" xfId="0" applyFill="1" applyBorder="1"/>
    <xf numFmtId="14" fontId="0" fillId="8" borderId="0" xfId="0" applyNumberFormat="1" applyFill="1"/>
    <xf numFmtId="166" fontId="0" fillId="8" borderId="0" xfId="0" applyNumberFormat="1" applyFill="1"/>
    <xf numFmtId="0" fontId="6" fillId="3" borderId="90" xfId="0" applyFont="1" applyFill="1" applyBorder="1" applyAlignment="1" applyProtection="1">
      <alignment horizontal="center" vertical="center" wrapText="1"/>
      <protection hidden="1"/>
    </xf>
    <xf numFmtId="0" fontId="0" fillId="8" borderId="90" xfId="0" applyFill="1" applyBorder="1"/>
    <xf numFmtId="0" fontId="0" fillId="8" borderId="94" xfId="0" applyFill="1" applyBorder="1"/>
    <xf numFmtId="0" fontId="6" fillId="3" borderId="96" xfId="0" applyFont="1" applyFill="1" applyBorder="1" applyAlignment="1" applyProtection="1">
      <alignment horizontal="center" vertical="center"/>
      <protection hidden="1"/>
    </xf>
    <xf numFmtId="0" fontId="6" fillId="3" borderId="97" xfId="0" applyFont="1" applyFill="1" applyBorder="1" applyAlignment="1" applyProtection="1">
      <alignment horizontal="center" vertical="center"/>
      <protection hidden="1"/>
    </xf>
    <xf numFmtId="0" fontId="6" fillId="3" borderId="98" xfId="0" applyFont="1" applyFill="1" applyBorder="1" applyAlignment="1" applyProtection="1">
      <alignment horizontal="center" vertical="center"/>
      <protection hidden="1"/>
    </xf>
    <xf numFmtId="164" fontId="22" fillId="8" borderId="0" xfId="0" applyNumberFormat="1" applyFont="1" applyFill="1" applyAlignment="1" applyProtection="1">
      <alignment vertical="center"/>
      <protection hidden="1"/>
    </xf>
    <xf numFmtId="0" fontId="6" fillId="3" borderId="99" xfId="0" applyFont="1" applyFill="1" applyBorder="1" applyAlignment="1" applyProtection="1">
      <alignment horizontal="center" vertical="center"/>
      <protection hidden="1"/>
    </xf>
    <xf numFmtId="0" fontId="0" fillId="8" borderId="100" xfId="0" applyFill="1" applyBorder="1" applyProtection="1">
      <protection hidden="1"/>
    </xf>
    <xf numFmtId="0" fontId="0" fillId="8" borderId="101" xfId="0" applyFill="1" applyBorder="1"/>
    <xf numFmtId="0" fontId="0" fillId="8" borderId="102" xfId="0" applyFill="1" applyBorder="1"/>
    <xf numFmtId="0" fontId="0" fillId="8" borderId="103" xfId="0" applyFill="1" applyBorder="1"/>
    <xf numFmtId="0" fontId="0" fillId="8" borderId="104" xfId="0" applyFill="1" applyBorder="1"/>
    <xf numFmtId="0" fontId="0" fillId="8" borderId="106" xfId="0" applyFill="1" applyBorder="1"/>
    <xf numFmtId="0" fontId="0" fillId="8" borderId="107" xfId="0" applyFill="1" applyBorder="1"/>
    <xf numFmtId="0" fontId="0" fillId="8" borderId="108" xfId="0" applyFill="1" applyBorder="1"/>
    <xf numFmtId="0" fontId="0" fillId="8" borderId="109" xfId="0" applyFill="1" applyBorder="1"/>
    <xf numFmtId="0" fontId="0" fillId="17" borderId="32" xfId="0" applyFill="1" applyBorder="1"/>
    <xf numFmtId="14" fontId="0" fillId="17" borderId="0" xfId="0" applyNumberFormat="1" applyFill="1"/>
    <xf numFmtId="0" fontId="40" fillId="17" borderId="0" xfId="0" applyFont="1" applyFill="1" applyAlignment="1">
      <alignment horizontal="center" vertical="top"/>
    </xf>
    <xf numFmtId="0" fontId="0" fillId="17" borderId="0" xfId="0" applyFill="1"/>
    <xf numFmtId="0" fontId="0" fillId="17" borderId="59" xfId="0" applyFill="1" applyBorder="1"/>
    <xf numFmtId="0" fontId="0" fillId="18" borderId="67" xfId="0" applyFill="1" applyBorder="1"/>
    <xf numFmtId="0" fontId="0" fillId="18" borderId="32" xfId="0" applyFill="1" applyBorder="1"/>
    <xf numFmtId="14" fontId="0" fillId="18" borderId="0" xfId="0" applyNumberFormat="1" applyFill="1"/>
    <xf numFmtId="0" fontId="0" fillId="18" borderId="0" xfId="0" applyFill="1"/>
    <xf numFmtId="0" fontId="40" fillId="18" borderId="0" xfId="0" applyFont="1" applyFill="1" applyAlignment="1">
      <alignment horizontal="center" vertical="top"/>
    </xf>
    <xf numFmtId="165" fontId="19" fillId="7" borderId="48" xfId="0" applyNumberFormat="1" applyFont="1" applyFill="1" applyBorder="1" applyProtection="1">
      <protection locked="0" hidden="1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165" fontId="3" fillId="10" borderId="7" xfId="0" applyNumberFormat="1" applyFont="1" applyFill="1" applyBorder="1" applyAlignment="1" applyProtection="1">
      <alignment horizontal="center" vertical="center"/>
      <protection hidden="1"/>
    </xf>
    <xf numFmtId="0" fontId="6" fillId="3" borderId="95" xfId="0" applyFont="1" applyFill="1" applyBorder="1" applyAlignment="1" applyProtection="1">
      <alignment horizontal="center" vertical="center" wrapText="1"/>
      <protection hidden="1"/>
    </xf>
    <xf numFmtId="14" fontId="26" fillId="7" borderId="89" xfId="0" applyNumberFormat="1" applyFont="1" applyFill="1" applyBorder="1" applyAlignment="1" applyProtection="1">
      <alignment horizontal="center" vertical="center"/>
      <protection locked="0" hidden="1"/>
    </xf>
    <xf numFmtId="14" fontId="23" fillId="7" borderId="7" xfId="0" applyNumberFormat="1" applyFont="1" applyFill="1" applyBorder="1" applyAlignment="1" applyProtection="1">
      <alignment horizontal="center" vertical="center"/>
      <protection locked="0" hidden="1"/>
    </xf>
    <xf numFmtId="165" fontId="23" fillId="7" borderId="7" xfId="0" applyNumberFormat="1" applyFont="1" applyFill="1" applyBorder="1" applyAlignment="1" applyProtection="1">
      <alignment horizontal="center" vertical="center"/>
      <protection locked="0" hidden="1"/>
    </xf>
    <xf numFmtId="0" fontId="0" fillId="8" borderId="104" xfId="0" applyFill="1" applyBorder="1" applyAlignment="1">
      <alignment horizontal="center"/>
    </xf>
    <xf numFmtId="0" fontId="0" fillId="8" borderId="106" xfId="0" applyFill="1" applyBorder="1" applyAlignment="1">
      <alignment horizontal="center"/>
    </xf>
    <xf numFmtId="0" fontId="0" fillId="8" borderId="109" xfId="0" applyFill="1" applyBorder="1" applyAlignment="1">
      <alignment horizontal="center"/>
    </xf>
    <xf numFmtId="0" fontId="0" fillId="8" borderId="101" xfId="0" applyFill="1" applyBorder="1" applyAlignment="1">
      <alignment horizontal="center"/>
    </xf>
    <xf numFmtId="0" fontId="0" fillId="8" borderId="105" xfId="0" applyFill="1" applyBorder="1" applyAlignment="1">
      <alignment horizontal="center"/>
    </xf>
    <xf numFmtId="0" fontId="30" fillId="8" borderId="101" xfId="0" applyFont="1" applyFill="1" applyBorder="1" applyAlignment="1">
      <alignment vertical="center" wrapText="1"/>
    </xf>
    <xf numFmtId="0" fontId="30" fillId="8" borderId="111" xfId="0" applyFont="1" applyFill="1" applyBorder="1" applyAlignment="1">
      <alignment vertical="center" wrapText="1"/>
    </xf>
    <xf numFmtId="0" fontId="30" fillId="8" borderId="104" xfId="0" applyFont="1" applyFill="1" applyBorder="1" applyAlignment="1">
      <alignment vertical="center" wrapText="1"/>
    </xf>
    <xf numFmtId="0" fontId="0" fillId="8" borderId="28" xfId="0" applyFill="1" applyBorder="1"/>
    <xf numFmtId="0" fontId="0" fillId="8" borderId="2" xfId="0" applyFill="1" applyBorder="1"/>
    <xf numFmtId="0" fontId="0" fillId="8" borderId="3" xfId="0" applyFill="1" applyBorder="1"/>
    <xf numFmtId="49" fontId="16" fillId="8" borderId="0" xfId="0" applyNumberFormat="1" applyFont="1" applyFill="1" applyAlignment="1">
      <alignment vertical="center" wrapText="1"/>
    </xf>
    <xf numFmtId="14" fontId="3" fillId="3" borderId="114" xfId="0" applyNumberFormat="1" applyFont="1" applyFill="1" applyBorder="1" applyAlignment="1" applyProtection="1">
      <alignment horizontal="center" vertical="center"/>
      <protection locked="0" hidden="1"/>
    </xf>
    <xf numFmtId="14" fontId="3" fillId="3" borderId="115" xfId="0" applyNumberFormat="1" applyFont="1" applyFill="1" applyBorder="1" applyAlignment="1" applyProtection="1">
      <alignment horizontal="center"/>
      <protection locked="0" hidden="1"/>
    </xf>
    <xf numFmtId="170" fontId="5" fillId="2" borderId="115" xfId="0" applyNumberFormat="1" applyFont="1" applyFill="1" applyBorder="1" applyAlignment="1" applyProtection="1">
      <alignment horizontal="center"/>
      <protection hidden="1"/>
    </xf>
    <xf numFmtId="14" fontId="3" fillId="3" borderId="115" xfId="0" applyNumberFormat="1" applyFont="1" applyFill="1" applyBorder="1" applyAlignment="1" applyProtection="1">
      <alignment horizontal="center" vertical="center"/>
      <protection locked="0" hidden="1"/>
    </xf>
    <xf numFmtId="169" fontId="3" fillId="3" borderId="115" xfId="0" applyNumberFormat="1" applyFont="1" applyFill="1" applyBorder="1" applyAlignment="1" applyProtection="1">
      <alignment horizontal="center" vertical="center"/>
      <protection locked="0" hidden="1"/>
    </xf>
    <xf numFmtId="169" fontId="5" fillId="2" borderId="115" xfId="0" applyNumberFormat="1" applyFont="1" applyFill="1" applyBorder="1" applyAlignment="1" applyProtection="1">
      <alignment horizontal="right" vertical="center"/>
      <protection locked="0" hidden="1"/>
    </xf>
    <xf numFmtId="167" fontId="5" fillId="2" borderId="115" xfId="0" applyNumberFormat="1" applyFont="1" applyFill="1" applyBorder="1" applyAlignment="1" applyProtection="1">
      <alignment horizontal="right" vertical="center"/>
      <protection hidden="1"/>
    </xf>
    <xf numFmtId="169" fontId="5" fillId="2" borderId="115" xfId="0" applyNumberFormat="1" applyFont="1" applyFill="1" applyBorder="1" applyAlignment="1" applyProtection="1">
      <alignment horizontal="right" vertical="center"/>
      <protection hidden="1"/>
    </xf>
    <xf numFmtId="165" fontId="3" fillId="3" borderId="115" xfId="0" applyNumberFormat="1" applyFont="1" applyFill="1" applyBorder="1" applyAlignment="1" applyProtection="1">
      <alignment horizontal="center" vertical="center"/>
      <protection locked="0" hidden="1"/>
    </xf>
    <xf numFmtId="165" fontId="28" fillId="2" borderId="115" xfId="0" applyNumberFormat="1" applyFont="1" applyFill="1" applyBorder="1" applyAlignment="1" applyProtection="1">
      <alignment horizontal="center"/>
      <protection hidden="1"/>
    </xf>
    <xf numFmtId="165" fontId="7" fillId="3" borderId="115" xfId="0" applyNumberFormat="1" applyFont="1" applyFill="1" applyBorder="1" applyAlignment="1" applyProtection="1">
      <alignment horizontal="center"/>
      <protection locked="0" hidden="1"/>
    </xf>
    <xf numFmtId="165" fontId="5" fillId="2" borderId="115" xfId="0" applyNumberFormat="1" applyFont="1" applyFill="1" applyBorder="1" applyAlignment="1" applyProtection="1">
      <alignment horizontal="center" vertical="center"/>
      <protection hidden="1"/>
    </xf>
    <xf numFmtId="168" fontId="44" fillId="8" borderId="116" xfId="0" applyNumberFormat="1" applyFont="1" applyFill="1" applyBorder="1" applyAlignment="1" applyProtection="1">
      <alignment horizontal="center" vertical="center"/>
      <protection hidden="1"/>
    </xf>
    <xf numFmtId="14" fontId="5" fillId="2" borderId="117" xfId="0" applyNumberFormat="1" applyFont="1" applyFill="1" applyBorder="1" applyAlignment="1" applyProtection="1">
      <alignment horizontal="right"/>
      <protection hidden="1"/>
    </xf>
    <xf numFmtId="14" fontId="3" fillId="3" borderId="118" xfId="0" applyNumberFormat="1" applyFont="1" applyFill="1" applyBorder="1" applyAlignment="1" applyProtection="1">
      <alignment horizontal="center"/>
      <protection locked="0" hidden="1"/>
    </xf>
    <xf numFmtId="170" fontId="5" fillId="2" borderId="118" xfId="0" applyNumberFormat="1" applyFont="1" applyFill="1" applyBorder="1" applyAlignment="1" applyProtection="1">
      <alignment horizontal="center"/>
      <protection hidden="1"/>
    </xf>
    <xf numFmtId="14" fontId="3" fillId="3" borderId="118" xfId="0" applyNumberFormat="1" applyFont="1" applyFill="1" applyBorder="1" applyAlignment="1" applyProtection="1">
      <alignment horizontal="center" vertical="center"/>
      <protection locked="0" hidden="1"/>
    </xf>
    <xf numFmtId="169" fontId="3" fillId="3" borderId="118" xfId="0" applyNumberFormat="1" applyFont="1" applyFill="1" applyBorder="1" applyAlignment="1" applyProtection="1">
      <alignment horizontal="center" vertical="center"/>
      <protection locked="0" hidden="1"/>
    </xf>
    <xf numFmtId="169" fontId="5" fillId="2" borderId="118" xfId="0" applyNumberFormat="1" applyFont="1" applyFill="1" applyBorder="1" applyAlignment="1" applyProtection="1">
      <alignment horizontal="right" vertical="center"/>
      <protection locked="0" hidden="1"/>
    </xf>
    <xf numFmtId="169" fontId="5" fillId="2" borderId="118" xfId="0" applyNumberFormat="1" applyFont="1" applyFill="1" applyBorder="1" applyAlignment="1" applyProtection="1">
      <alignment horizontal="right" vertical="center"/>
      <protection hidden="1"/>
    </xf>
    <xf numFmtId="167" fontId="5" fillId="2" borderId="118" xfId="0" applyNumberFormat="1" applyFont="1" applyFill="1" applyBorder="1" applyAlignment="1" applyProtection="1">
      <alignment horizontal="right" vertical="center"/>
      <protection hidden="1"/>
    </xf>
    <xf numFmtId="165" fontId="3" fillId="3" borderId="118" xfId="0" applyNumberFormat="1" applyFont="1" applyFill="1" applyBorder="1" applyAlignment="1" applyProtection="1">
      <alignment horizontal="center" vertical="center"/>
      <protection locked="0" hidden="1"/>
    </xf>
    <xf numFmtId="165" fontId="28" fillId="2" borderId="118" xfId="0" applyNumberFormat="1" applyFont="1" applyFill="1" applyBorder="1" applyAlignment="1" applyProtection="1">
      <alignment horizontal="center"/>
      <protection hidden="1"/>
    </xf>
    <xf numFmtId="165" fontId="7" fillId="3" borderId="118" xfId="0" applyNumberFormat="1" applyFont="1" applyFill="1" applyBorder="1" applyAlignment="1" applyProtection="1">
      <alignment horizontal="center"/>
      <protection locked="0" hidden="1"/>
    </xf>
    <xf numFmtId="165" fontId="5" fillId="2" borderId="118" xfId="0" applyNumberFormat="1" applyFont="1" applyFill="1" applyBorder="1" applyAlignment="1" applyProtection="1">
      <alignment horizontal="center" vertical="center"/>
      <protection hidden="1"/>
    </xf>
    <xf numFmtId="165" fontId="61" fillId="2" borderId="113" xfId="0" applyNumberFormat="1" applyFont="1" applyFill="1" applyBorder="1" applyAlignment="1" applyProtection="1">
      <alignment horizontal="right" vertical="center"/>
      <protection hidden="1"/>
    </xf>
    <xf numFmtId="14" fontId="5" fillId="2" borderId="119" xfId="0" applyNumberFormat="1" applyFont="1" applyFill="1" applyBorder="1" applyAlignment="1" applyProtection="1">
      <alignment horizontal="right"/>
      <protection hidden="1"/>
    </xf>
    <xf numFmtId="14" fontId="3" fillId="3" borderId="120" xfId="0" applyNumberFormat="1" applyFont="1" applyFill="1" applyBorder="1" applyAlignment="1" applyProtection="1">
      <alignment horizontal="center"/>
      <protection locked="0" hidden="1"/>
    </xf>
    <xf numFmtId="170" fontId="5" fillId="2" borderId="120" xfId="0" applyNumberFormat="1" applyFont="1" applyFill="1" applyBorder="1" applyAlignment="1" applyProtection="1">
      <alignment horizontal="center"/>
      <protection hidden="1"/>
    </xf>
    <xf numFmtId="14" fontId="3" fillId="3" borderId="120" xfId="0" applyNumberFormat="1" applyFont="1" applyFill="1" applyBorder="1" applyAlignment="1" applyProtection="1">
      <alignment horizontal="center" vertical="center"/>
      <protection locked="0" hidden="1"/>
    </xf>
    <xf numFmtId="169" fontId="3" fillId="3" borderId="120" xfId="0" applyNumberFormat="1" applyFont="1" applyFill="1" applyBorder="1" applyAlignment="1" applyProtection="1">
      <alignment horizontal="center" vertical="center"/>
      <protection locked="0" hidden="1"/>
    </xf>
    <xf numFmtId="169" fontId="5" fillId="2" borderId="121" xfId="0" applyNumberFormat="1" applyFont="1" applyFill="1" applyBorder="1" applyAlignment="1" applyProtection="1">
      <alignment horizontal="right" vertical="center"/>
      <protection locked="0" hidden="1"/>
    </xf>
    <xf numFmtId="169" fontId="5" fillId="2" borderId="120" xfId="0" applyNumberFormat="1" applyFont="1" applyFill="1" applyBorder="1" applyAlignment="1" applyProtection="1">
      <alignment horizontal="right" vertical="center"/>
      <protection hidden="1"/>
    </xf>
    <xf numFmtId="167" fontId="5" fillId="2" borderId="120" xfId="0" applyNumberFormat="1" applyFont="1" applyFill="1" applyBorder="1" applyAlignment="1" applyProtection="1">
      <alignment horizontal="right" vertical="center"/>
      <protection hidden="1"/>
    </xf>
    <xf numFmtId="169" fontId="5" fillId="2" borderId="122" xfId="0" applyNumberFormat="1" applyFont="1" applyFill="1" applyBorder="1" applyAlignment="1" applyProtection="1">
      <alignment horizontal="right" vertical="center"/>
      <protection hidden="1"/>
    </xf>
    <xf numFmtId="165" fontId="3" fillId="3" borderId="122" xfId="0" applyNumberFormat="1" applyFont="1" applyFill="1" applyBorder="1" applyAlignment="1" applyProtection="1">
      <alignment horizontal="center" vertical="center"/>
      <protection locked="0" hidden="1"/>
    </xf>
    <xf numFmtId="165" fontId="28" fillId="2" borderId="122" xfId="0" applyNumberFormat="1" applyFont="1" applyFill="1" applyBorder="1" applyAlignment="1" applyProtection="1">
      <alignment horizontal="center"/>
      <protection hidden="1"/>
    </xf>
    <xf numFmtId="165" fontId="7" fillId="3" borderId="120" xfId="0" applyNumberFormat="1" applyFont="1" applyFill="1" applyBorder="1" applyAlignment="1" applyProtection="1">
      <alignment horizontal="center"/>
      <protection locked="0" hidden="1"/>
    </xf>
    <xf numFmtId="165" fontId="5" fillId="2" borderId="122" xfId="0" applyNumberFormat="1" applyFont="1" applyFill="1" applyBorder="1" applyAlignment="1" applyProtection="1">
      <alignment horizontal="center" vertical="center"/>
      <protection hidden="1"/>
    </xf>
    <xf numFmtId="165" fontId="61" fillId="2" borderId="123" xfId="0" applyNumberFormat="1" applyFont="1" applyFill="1" applyBorder="1" applyAlignment="1" applyProtection="1">
      <alignment horizontal="right" vertical="center"/>
      <protection hidden="1"/>
    </xf>
    <xf numFmtId="9" fontId="7" fillId="19" borderId="115" xfId="0" applyNumberFormat="1" applyFont="1" applyFill="1" applyBorder="1" applyAlignment="1" applyProtection="1">
      <alignment horizontal="center" vertical="center"/>
      <protection locked="0" hidden="1"/>
    </xf>
    <xf numFmtId="9" fontId="7" fillId="19" borderId="118" xfId="0" applyNumberFormat="1" applyFont="1" applyFill="1" applyBorder="1" applyAlignment="1" applyProtection="1">
      <alignment horizontal="center" vertical="center"/>
      <protection locked="0" hidden="1"/>
    </xf>
    <xf numFmtId="9" fontId="7" fillId="19" borderId="120" xfId="0" applyNumberFormat="1" applyFont="1" applyFill="1" applyBorder="1" applyAlignment="1" applyProtection="1">
      <alignment horizontal="center" vertical="center"/>
      <protection locked="0" hidden="1"/>
    </xf>
    <xf numFmtId="165" fontId="62" fillId="2" borderId="115" xfId="0" applyNumberFormat="1" applyFont="1" applyFill="1" applyBorder="1" applyAlignment="1" applyProtection="1">
      <alignment horizontal="right" vertical="center"/>
      <protection hidden="1"/>
    </xf>
    <xf numFmtId="165" fontId="62" fillId="2" borderId="118" xfId="0" applyNumberFormat="1" applyFont="1" applyFill="1" applyBorder="1" applyAlignment="1" applyProtection="1">
      <alignment horizontal="right" vertical="center"/>
      <protection hidden="1"/>
    </xf>
    <xf numFmtId="165" fontId="62" fillId="2" borderId="122" xfId="0" applyNumberFormat="1" applyFont="1" applyFill="1" applyBorder="1" applyAlignment="1" applyProtection="1">
      <alignment horizontal="right" vertical="center"/>
      <protection hidden="1"/>
    </xf>
    <xf numFmtId="0" fontId="51" fillId="3" borderId="69" xfId="0" applyFont="1" applyFill="1" applyBorder="1" applyAlignment="1">
      <alignment vertical="center"/>
    </xf>
    <xf numFmtId="0" fontId="51" fillId="3" borderId="0" xfId="0" applyFont="1" applyFill="1" applyAlignment="1">
      <alignment vertical="center"/>
    </xf>
    <xf numFmtId="0" fontId="51" fillId="3" borderId="70" xfId="0" applyFont="1" applyFill="1" applyBorder="1" applyAlignment="1">
      <alignment vertical="center"/>
    </xf>
    <xf numFmtId="0" fontId="51" fillId="3" borderId="71" xfId="0" applyFont="1" applyFill="1" applyBorder="1" applyAlignment="1">
      <alignment vertical="center"/>
    </xf>
    <xf numFmtId="0" fontId="51" fillId="3" borderId="59" xfId="0" applyFont="1" applyFill="1" applyBorder="1" applyAlignment="1">
      <alignment vertical="center"/>
    </xf>
    <xf numFmtId="0" fontId="51" fillId="3" borderId="72" xfId="0" applyFont="1" applyFill="1" applyBorder="1" applyAlignment="1">
      <alignment vertical="center"/>
    </xf>
    <xf numFmtId="0" fontId="63" fillId="3" borderId="69" xfId="0" applyFont="1" applyFill="1" applyBorder="1" applyAlignment="1">
      <alignment horizontal="center" vertical="center" wrapText="1"/>
    </xf>
    <xf numFmtId="0" fontId="63" fillId="3" borderId="0" xfId="0" applyFont="1" applyFill="1" applyAlignment="1">
      <alignment horizontal="center" vertical="center" wrapText="1"/>
    </xf>
    <xf numFmtId="0" fontId="63" fillId="3" borderId="70" xfId="0" applyFont="1" applyFill="1" applyBorder="1" applyAlignment="1">
      <alignment horizontal="center" vertical="center" wrapText="1"/>
    </xf>
    <xf numFmtId="0" fontId="0" fillId="8" borderId="12" xfId="0" applyFill="1" applyBorder="1" applyAlignment="1">
      <alignment horizontal="center"/>
    </xf>
    <xf numFmtId="0" fontId="0" fillId="8" borderId="34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8" borderId="22" xfId="0" applyFill="1" applyBorder="1" applyAlignment="1">
      <alignment horizontal="center"/>
    </xf>
    <xf numFmtId="0" fontId="42" fillId="8" borderId="75" xfId="0" applyFont="1" applyFill="1" applyBorder="1" applyAlignment="1" applyProtection="1">
      <alignment horizontal="center" vertical="top"/>
      <protection hidden="1"/>
    </xf>
    <xf numFmtId="0" fontId="42" fillId="8" borderId="59" xfId="0" applyFont="1" applyFill="1" applyBorder="1" applyAlignment="1" applyProtection="1">
      <alignment horizontal="center" vertical="top"/>
      <protection hidden="1"/>
    </xf>
    <xf numFmtId="0" fontId="42" fillId="8" borderId="72" xfId="0" applyFont="1" applyFill="1" applyBorder="1" applyAlignment="1" applyProtection="1">
      <alignment horizontal="center" vertical="top"/>
      <protection hidden="1"/>
    </xf>
    <xf numFmtId="0" fontId="47" fillId="8" borderId="66" xfId="0" applyFont="1" applyFill="1" applyBorder="1" applyAlignment="1" applyProtection="1">
      <alignment horizontal="center" vertical="center" wrapText="1"/>
      <protection hidden="1"/>
    </xf>
    <xf numFmtId="0" fontId="47" fillId="8" borderId="67" xfId="0" applyFont="1" applyFill="1" applyBorder="1" applyAlignment="1" applyProtection="1">
      <alignment horizontal="center" vertical="center" wrapText="1"/>
      <protection hidden="1"/>
    </xf>
    <xf numFmtId="0" fontId="47" fillId="8" borderId="69" xfId="0" applyFont="1" applyFill="1" applyBorder="1" applyAlignment="1" applyProtection="1">
      <alignment horizontal="center" vertical="center" wrapText="1"/>
      <protection hidden="1"/>
    </xf>
    <xf numFmtId="0" fontId="47" fillId="8" borderId="0" xfId="0" applyFont="1" applyFill="1" applyAlignment="1" applyProtection="1">
      <alignment horizontal="center" vertical="center" wrapText="1"/>
      <protection hidden="1"/>
    </xf>
    <xf numFmtId="0" fontId="47" fillId="8" borderId="71" xfId="0" applyFont="1" applyFill="1" applyBorder="1" applyAlignment="1" applyProtection="1">
      <alignment horizontal="center" vertical="center" wrapText="1"/>
      <protection hidden="1"/>
    </xf>
    <xf numFmtId="0" fontId="47" fillId="8" borderId="59" xfId="0" applyFont="1" applyFill="1" applyBorder="1" applyAlignment="1" applyProtection="1">
      <alignment horizontal="center" vertical="center" wrapText="1"/>
      <protection hidden="1"/>
    </xf>
    <xf numFmtId="0" fontId="46" fillId="8" borderId="32" xfId="0" applyFont="1" applyFill="1" applyBorder="1" applyAlignment="1" applyProtection="1">
      <alignment horizontal="center"/>
      <protection hidden="1"/>
    </xf>
    <xf numFmtId="0" fontId="46" fillId="8" borderId="0" xfId="0" applyFont="1" applyFill="1" applyAlignment="1" applyProtection="1">
      <alignment horizontal="center"/>
      <protection hidden="1"/>
    </xf>
    <xf numFmtId="0" fontId="45" fillId="8" borderId="32" xfId="0" applyFont="1" applyFill="1" applyBorder="1" applyAlignment="1" applyProtection="1">
      <alignment horizontal="center" vertical="center"/>
      <protection hidden="1"/>
    </xf>
    <xf numFmtId="0" fontId="45" fillId="8" borderId="0" xfId="0" applyFont="1" applyFill="1" applyAlignment="1" applyProtection="1">
      <alignment horizontal="center" vertical="center"/>
      <protection hidden="1"/>
    </xf>
    <xf numFmtId="0" fontId="45" fillId="8" borderId="70" xfId="0" applyFont="1" applyFill="1" applyBorder="1" applyAlignment="1" applyProtection="1">
      <alignment horizontal="center" vertical="center"/>
      <protection hidden="1"/>
    </xf>
    <xf numFmtId="0" fontId="0" fillId="8" borderId="66" xfId="0" applyFill="1" applyBorder="1" applyAlignment="1">
      <alignment horizontal="center"/>
    </xf>
    <xf numFmtId="0" fontId="0" fillId="8" borderId="69" xfId="0" applyFill="1" applyBorder="1" applyAlignment="1">
      <alignment horizontal="center"/>
    </xf>
    <xf numFmtId="0" fontId="0" fillId="8" borderId="71" xfId="0" applyFill="1" applyBorder="1" applyAlignment="1">
      <alignment horizontal="center"/>
    </xf>
    <xf numFmtId="0" fontId="52" fillId="15" borderId="83" xfId="0" applyFont="1" applyFill="1" applyBorder="1" applyAlignment="1">
      <alignment horizontal="center" vertical="center"/>
    </xf>
    <xf numFmtId="0" fontId="52" fillId="15" borderId="67" xfId="0" applyFont="1" applyFill="1" applyBorder="1" applyAlignment="1">
      <alignment horizontal="center" vertical="center"/>
    </xf>
    <xf numFmtId="0" fontId="52" fillId="15" borderId="84" xfId="0" applyFont="1" applyFill="1" applyBorder="1" applyAlignment="1">
      <alignment horizontal="center" vertical="center"/>
    </xf>
    <xf numFmtId="0" fontId="52" fillId="15" borderId="85" xfId="0" applyFont="1" applyFill="1" applyBorder="1" applyAlignment="1">
      <alignment horizontal="center" vertical="center"/>
    </xf>
    <xf numFmtId="0" fontId="52" fillId="15" borderId="0" xfId="0" applyFont="1" applyFill="1" applyAlignment="1">
      <alignment horizontal="center" vertical="center"/>
    </xf>
    <xf numFmtId="0" fontId="52" fillId="15" borderId="86" xfId="0" applyFont="1" applyFill="1" applyBorder="1" applyAlignment="1">
      <alignment horizontal="center" vertical="center"/>
    </xf>
    <xf numFmtId="0" fontId="52" fillId="15" borderId="87" xfId="0" applyFont="1" applyFill="1" applyBorder="1" applyAlignment="1">
      <alignment horizontal="center" vertical="center"/>
    </xf>
    <xf numFmtId="0" fontId="52" fillId="15" borderId="59" xfId="0" applyFont="1" applyFill="1" applyBorder="1" applyAlignment="1">
      <alignment horizontal="center" vertical="center"/>
    </xf>
    <xf numFmtId="0" fontId="52" fillId="15" borderId="88" xfId="0" applyFont="1" applyFill="1" applyBorder="1" applyAlignment="1">
      <alignment horizontal="center" vertical="center"/>
    </xf>
    <xf numFmtId="0" fontId="53" fillId="15" borderId="67" xfId="0" applyFont="1" applyFill="1" applyBorder="1" applyAlignment="1">
      <alignment horizontal="center" vertical="center"/>
    </xf>
    <xf numFmtId="0" fontId="53" fillId="15" borderId="84" xfId="0" applyFont="1" applyFill="1" applyBorder="1" applyAlignment="1">
      <alignment horizontal="center" vertical="center"/>
    </xf>
    <xf numFmtId="0" fontId="53" fillId="15" borderId="0" xfId="0" applyFont="1" applyFill="1" applyAlignment="1">
      <alignment horizontal="center" vertical="center"/>
    </xf>
    <xf numFmtId="0" fontId="53" fillId="15" borderId="86" xfId="0" applyFont="1" applyFill="1" applyBorder="1" applyAlignment="1">
      <alignment horizontal="center" vertical="center"/>
    </xf>
    <xf numFmtId="0" fontId="53" fillId="15" borderId="59" xfId="0" applyFont="1" applyFill="1" applyBorder="1" applyAlignment="1">
      <alignment horizontal="center" vertical="center"/>
    </xf>
    <xf numFmtId="0" fontId="53" fillId="15" borderId="88" xfId="0" applyFont="1" applyFill="1" applyBorder="1" applyAlignment="1">
      <alignment horizontal="center" vertical="center"/>
    </xf>
    <xf numFmtId="0" fontId="57" fillId="3" borderId="74" xfId="0" applyFont="1" applyFill="1" applyBorder="1" applyAlignment="1" applyProtection="1">
      <alignment horizontal="center" vertical="center"/>
      <protection hidden="1"/>
    </xf>
    <xf numFmtId="0" fontId="57" fillId="3" borderId="67" xfId="0" applyFont="1" applyFill="1" applyBorder="1" applyAlignment="1" applyProtection="1">
      <alignment horizontal="center" vertical="center"/>
      <protection hidden="1"/>
    </xf>
    <xf numFmtId="0" fontId="57" fillId="3" borderId="84" xfId="0" applyFont="1" applyFill="1" applyBorder="1" applyAlignment="1" applyProtection="1">
      <alignment horizontal="center" vertical="center"/>
      <protection hidden="1"/>
    </xf>
    <xf numFmtId="0" fontId="57" fillId="3" borderId="32" xfId="0" applyFont="1" applyFill="1" applyBorder="1" applyAlignment="1" applyProtection="1">
      <alignment horizontal="center" vertical="center"/>
      <protection hidden="1"/>
    </xf>
    <xf numFmtId="0" fontId="57" fillId="3" borderId="0" xfId="0" applyFont="1" applyFill="1" applyAlignment="1" applyProtection="1">
      <alignment horizontal="center" vertical="center"/>
      <protection hidden="1"/>
    </xf>
    <xf numFmtId="0" fontId="57" fillId="3" borderId="86" xfId="0" applyFont="1" applyFill="1" applyBorder="1" applyAlignment="1" applyProtection="1">
      <alignment horizontal="center" vertical="center"/>
      <protection hidden="1"/>
    </xf>
    <xf numFmtId="0" fontId="57" fillId="3" borderId="75" xfId="0" applyFont="1" applyFill="1" applyBorder="1" applyAlignment="1" applyProtection="1">
      <alignment horizontal="center" vertical="center"/>
      <protection hidden="1"/>
    </xf>
    <xf numFmtId="0" fontId="57" fillId="3" borderId="59" xfId="0" applyFont="1" applyFill="1" applyBorder="1" applyAlignment="1" applyProtection="1">
      <alignment horizontal="center" vertical="center"/>
      <protection hidden="1"/>
    </xf>
    <xf numFmtId="0" fontId="57" fillId="3" borderId="88" xfId="0" applyFont="1" applyFill="1" applyBorder="1" applyAlignment="1" applyProtection="1">
      <alignment horizontal="center" vertical="center"/>
      <protection hidden="1"/>
    </xf>
    <xf numFmtId="0" fontId="0" fillId="8" borderId="31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34" fillId="8" borderId="64" xfId="0" applyFont="1" applyFill="1" applyBorder="1" applyAlignment="1" applyProtection="1">
      <alignment horizontal="center" wrapText="1"/>
      <protection hidden="1"/>
    </xf>
    <xf numFmtId="0" fontId="34" fillId="8" borderId="0" xfId="0" applyFont="1" applyFill="1" applyAlignment="1" applyProtection="1">
      <alignment horizontal="center" wrapText="1"/>
      <protection hidden="1"/>
    </xf>
    <xf numFmtId="0" fontId="35" fillId="8" borderId="64" xfId="0" applyFont="1" applyFill="1" applyBorder="1" applyAlignment="1" applyProtection="1">
      <alignment horizontal="center" vertical="center" wrapText="1"/>
      <protection hidden="1"/>
    </xf>
    <xf numFmtId="0" fontId="35" fillId="8" borderId="0" xfId="0" applyFont="1" applyFill="1" applyAlignment="1" applyProtection="1">
      <alignment horizontal="center" vertical="center" wrapText="1"/>
      <protection hidden="1"/>
    </xf>
    <xf numFmtId="49" fontId="41" fillId="8" borderId="64" xfId="0" applyNumberFormat="1" applyFont="1" applyFill="1" applyBorder="1" applyAlignment="1" applyProtection="1">
      <alignment horizontal="center" vertical="top" wrapText="1"/>
      <protection hidden="1"/>
    </xf>
    <xf numFmtId="49" fontId="41" fillId="8" borderId="0" xfId="0" applyNumberFormat="1" applyFont="1" applyFill="1" applyAlignment="1" applyProtection="1">
      <alignment horizontal="center" vertical="top" wrapText="1"/>
      <protection hidden="1"/>
    </xf>
    <xf numFmtId="49" fontId="41" fillId="8" borderId="79" xfId="0" applyNumberFormat="1" applyFont="1" applyFill="1" applyBorder="1" applyAlignment="1" applyProtection="1">
      <alignment horizontal="center" vertical="top" wrapText="1"/>
      <protection hidden="1"/>
    </xf>
    <xf numFmtId="49" fontId="41" fillId="8" borderId="59" xfId="0" applyNumberFormat="1" applyFont="1" applyFill="1" applyBorder="1" applyAlignment="1" applyProtection="1">
      <alignment horizontal="center" vertical="top" wrapText="1"/>
      <protection hidden="1"/>
    </xf>
    <xf numFmtId="0" fontId="0" fillId="8" borderId="67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50" fillId="8" borderId="66" xfId="0" applyFont="1" applyFill="1" applyBorder="1" applyAlignment="1" applyProtection="1">
      <alignment horizontal="center" vertical="center" wrapText="1"/>
      <protection hidden="1"/>
    </xf>
    <xf numFmtId="0" fontId="50" fillId="8" borderId="69" xfId="0" applyFont="1" applyFill="1" applyBorder="1" applyAlignment="1" applyProtection="1">
      <alignment horizontal="center" vertical="center" wrapText="1"/>
      <protection hidden="1"/>
    </xf>
    <xf numFmtId="0" fontId="50" fillId="8" borderId="71" xfId="0" applyFont="1" applyFill="1" applyBorder="1" applyAlignment="1" applyProtection="1">
      <alignment horizontal="center" vertical="center" wrapText="1"/>
      <protection hidden="1"/>
    </xf>
    <xf numFmtId="0" fontId="51" fillId="3" borderId="66" xfId="0" applyFont="1" applyFill="1" applyBorder="1" applyAlignment="1">
      <alignment horizontal="center" vertical="center"/>
    </xf>
    <xf numFmtId="0" fontId="51" fillId="3" borderId="67" xfId="0" applyFont="1" applyFill="1" applyBorder="1" applyAlignment="1">
      <alignment horizontal="center" vertical="center"/>
    </xf>
    <xf numFmtId="0" fontId="51" fillId="3" borderId="68" xfId="0" applyFont="1" applyFill="1" applyBorder="1" applyAlignment="1">
      <alignment horizontal="center" vertical="center"/>
    </xf>
    <xf numFmtId="0" fontId="0" fillId="8" borderId="81" xfId="0" applyFill="1" applyBorder="1" applyAlignment="1">
      <alignment horizontal="center"/>
    </xf>
    <xf numFmtId="0" fontId="0" fillId="8" borderId="82" xfId="0" applyFill="1" applyBorder="1" applyAlignment="1">
      <alignment horizontal="center"/>
    </xf>
    <xf numFmtId="0" fontId="55" fillId="15" borderId="83" xfId="0" applyFont="1" applyFill="1" applyBorder="1" applyAlignment="1">
      <alignment horizontal="center" vertical="center" wrapText="1"/>
    </xf>
    <xf numFmtId="0" fontId="55" fillId="15" borderId="84" xfId="0" applyFont="1" applyFill="1" applyBorder="1" applyAlignment="1">
      <alignment horizontal="center" vertical="center" wrapText="1"/>
    </xf>
    <xf numFmtId="0" fontId="55" fillId="15" borderId="85" xfId="0" applyFont="1" applyFill="1" applyBorder="1" applyAlignment="1">
      <alignment horizontal="center" vertical="center" wrapText="1"/>
    </xf>
    <xf numFmtId="0" fontId="55" fillId="15" borderId="86" xfId="0" applyFont="1" applyFill="1" applyBorder="1" applyAlignment="1">
      <alignment horizontal="center" vertical="center" wrapText="1"/>
    </xf>
    <xf numFmtId="0" fontId="55" fillId="15" borderId="87" xfId="0" applyFont="1" applyFill="1" applyBorder="1" applyAlignment="1">
      <alignment horizontal="center" vertical="center" wrapText="1"/>
    </xf>
    <xf numFmtId="0" fontId="55" fillId="15" borderId="88" xfId="0" applyFont="1" applyFill="1" applyBorder="1" applyAlignment="1">
      <alignment horizontal="center" vertical="center" wrapText="1"/>
    </xf>
    <xf numFmtId="0" fontId="54" fillId="16" borderId="83" xfId="0" applyFont="1" applyFill="1" applyBorder="1" applyAlignment="1">
      <alignment horizontal="center" vertical="center" wrapText="1"/>
    </xf>
    <xf numFmtId="0" fontId="54" fillId="16" borderId="67" xfId="0" applyFont="1" applyFill="1" applyBorder="1" applyAlignment="1">
      <alignment horizontal="center" vertical="center" wrapText="1"/>
    </xf>
    <xf numFmtId="0" fontId="54" fillId="16" borderId="84" xfId="0" applyFont="1" applyFill="1" applyBorder="1" applyAlignment="1">
      <alignment horizontal="center" vertical="center" wrapText="1"/>
    </xf>
    <xf numFmtId="0" fontId="54" fillId="16" borderId="85" xfId="0" applyFont="1" applyFill="1" applyBorder="1" applyAlignment="1">
      <alignment horizontal="center" vertical="center" wrapText="1"/>
    </xf>
    <xf numFmtId="0" fontId="54" fillId="16" borderId="0" xfId="0" applyFont="1" applyFill="1" applyAlignment="1">
      <alignment horizontal="center" vertical="center" wrapText="1"/>
    </xf>
    <xf numFmtId="0" fontId="54" fillId="16" borderId="86" xfId="0" applyFont="1" applyFill="1" applyBorder="1" applyAlignment="1">
      <alignment horizontal="center" vertical="center" wrapText="1"/>
    </xf>
    <xf numFmtId="0" fontId="54" fillId="16" borderId="87" xfId="0" applyFont="1" applyFill="1" applyBorder="1" applyAlignment="1">
      <alignment horizontal="center" vertical="center" wrapText="1"/>
    </xf>
    <xf numFmtId="0" fontId="54" fillId="16" borderId="59" xfId="0" applyFont="1" applyFill="1" applyBorder="1" applyAlignment="1">
      <alignment horizontal="center" vertical="center" wrapText="1"/>
    </xf>
    <xf numFmtId="0" fontId="54" fillId="16" borderId="88" xfId="0" applyFont="1" applyFill="1" applyBorder="1" applyAlignment="1">
      <alignment horizontal="center" vertical="center" wrapText="1"/>
    </xf>
    <xf numFmtId="0" fontId="56" fillId="3" borderId="83" xfId="0" applyFont="1" applyFill="1" applyBorder="1" applyAlignment="1" applyProtection="1">
      <alignment horizontal="center" vertical="center"/>
      <protection hidden="1"/>
    </xf>
    <xf numFmtId="0" fontId="56" fillId="3" borderId="67" xfId="0" applyFont="1" applyFill="1" applyBorder="1" applyAlignment="1" applyProtection="1">
      <alignment horizontal="center" vertical="center"/>
      <protection hidden="1"/>
    </xf>
    <xf numFmtId="0" fontId="56" fillId="3" borderId="68" xfId="0" applyFont="1" applyFill="1" applyBorder="1" applyAlignment="1" applyProtection="1">
      <alignment horizontal="center" vertical="center"/>
      <protection hidden="1"/>
    </xf>
    <xf numFmtId="0" fontId="56" fillId="3" borderId="85" xfId="0" applyFont="1" applyFill="1" applyBorder="1" applyAlignment="1" applyProtection="1">
      <alignment horizontal="center" vertical="center"/>
      <protection hidden="1"/>
    </xf>
    <xf numFmtId="0" fontId="56" fillId="3" borderId="0" xfId="0" applyFont="1" applyFill="1" applyAlignment="1" applyProtection="1">
      <alignment horizontal="center" vertical="center"/>
      <protection hidden="1"/>
    </xf>
    <xf numFmtId="0" fontId="56" fillId="3" borderId="70" xfId="0" applyFont="1" applyFill="1" applyBorder="1" applyAlignment="1" applyProtection="1">
      <alignment horizontal="center" vertical="center"/>
      <protection hidden="1"/>
    </xf>
    <xf numFmtId="0" fontId="56" fillId="3" borderId="87" xfId="0" applyFont="1" applyFill="1" applyBorder="1" applyAlignment="1" applyProtection="1">
      <alignment horizontal="center" vertical="center"/>
      <protection hidden="1"/>
    </xf>
    <xf numFmtId="0" fontId="56" fillId="3" borderId="59" xfId="0" applyFont="1" applyFill="1" applyBorder="1" applyAlignment="1" applyProtection="1">
      <alignment horizontal="center" vertical="center"/>
      <protection hidden="1"/>
    </xf>
    <xf numFmtId="0" fontId="56" fillId="3" borderId="72" xfId="0" applyFont="1" applyFill="1" applyBorder="1" applyAlignment="1" applyProtection="1">
      <alignment horizontal="center" vertical="center"/>
      <protection hidden="1"/>
    </xf>
    <xf numFmtId="0" fontId="4" fillId="8" borderId="11" xfId="0" applyFont="1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0" fontId="0" fillId="3" borderId="74" xfId="0" applyFill="1" applyBorder="1" applyAlignment="1">
      <alignment horizontal="center"/>
    </xf>
    <xf numFmtId="0" fontId="0" fillId="3" borderId="67" xfId="0" applyFill="1" applyBorder="1" applyAlignment="1">
      <alignment horizontal="center"/>
    </xf>
    <xf numFmtId="0" fontId="0" fillId="3" borderId="68" xfId="0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70" xfId="0" applyFill="1" applyBorder="1" applyAlignment="1">
      <alignment horizontal="center"/>
    </xf>
    <xf numFmtId="0" fontId="0" fillId="3" borderId="75" xfId="0" applyFill="1" applyBorder="1" applyAlignment="1">
      <alignment horizontal="center"/>
    </xf>
    <xf numFmtId="0" fontId="0" fillId="3" borderId="59" xfId="0" applyFill="1" applyBorder="1" applyAlignment="1">
      <alignment horizontal="center"/>
    </xf>
    <xf numFmtId="0" fontId="0" fillId="3" borderId="72" xfId="0" applyFill="1" applyBorder="1" applyAlignment="1">
      <alignment horizontal="center"/>
    </xf>
    <xf numFmtId="0" fontId="0" fillId="8" borderId="10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01" xfId="0" applyFill="1" applyBorder="1" applyAlignment="1">
      <alignment horizontal="center"/>
    </xf>
    <xf numFmtId="0" fontId="0" fillId="8" borderId="105" xfId="0" applyFill="1" applyBorder="1" applyAlignment="1">
      <alignment horizontal="center"/>
    </xf>
    <xf numFmtId="0" fontId="0" fillId="8" borderId="106" xfId="0" applyFill="1" applyBorder="1" applyAlignment="1">
      <alignment horizontal="center"/>
    </xf>
    <xf numFmtId="49" fontId="16" fillId="8" borderId="49" xfId="0" applyNumberFormat="1" applyFont="1" applyFill="1" applyBorder="1" applyAlignment="1">
      <alignment horizontal="center" vertical="center" wrapText="1"/>
    </xf>
    <xf numFmtId="49" fontId="16" fillId="8" borderId="0" xfId="0" applyNumberFormat="1" applyFont="1" applyFill="1" applyAlignment="1">
      <alignment horizontal="center" vertical="center" wrapText="1"/>
    </xf>
    <xf numFmtId="0" fontId="60" fillId="8" borderId="90" xfId="0" applyFont="1" applyFill="1" applyBorder="1" applyAlignment="1">
      <alignment horizontal="center" wrapText="1"/>
    </xf>
    <xf numFmtId="0" fontId="60" fillId="8" borderId="0" xfId="0" applyFont="1" applyFill="1" applyAlignment="1">
      <alignment horizontal="center" wrapText="1"/>
    </xf>
    <xf numFmtId="172" fontId="14" fillId="3" borderId="10" xfId="0" applyNumberFormat="1" applyFont="1" applyFill="1" applyBorder="1" applyAlignment="1" applyProtection="1">
      <alignment horizontal="center" vertical="center"/>
      <protection hidden="1"/>
    </xf>
    <xf numFmtId="172" fontId="14" fillId="3" borderId="19" xfId="0" applyNumberFormat="1" applyFont="1" applyFill="1" applyBorder="1" applyAlignment="1" applyProtection="1">
      <alignment horizontal="center" vertical="center"/>
      <protection hidden="1"/>
    </xf>
    <xf numFmtId="172" fontId="18" fillId="9" borderId="42" xfId="0" applyNumberFormat="1" applyFont="1" applyFill="1" applyBorder="1" applyAlignment="1" applyProtection="1">
      <alignment horizontal="center"/>
      <protection hidden="1"/>
    </xf>
    <xf numFmtId="172" fontId="18" fillId="9" borderId="43" xfId="0" applyNumberFormat="1" applyFont="1" applyFill="1" applyBorder="1" applyAlignment="1" applyProtection="1">
      <alignment horizontal="center"/>
      <protection hidden="1"/>
    </xf>
    <xf numFmtId="171" fontId="23" fillId="11" borderId="29" xfId="0" applyNumberFormat="1" applyFont="1" applyFill="1" applyBorder="1" applyAlignment="1" applyProtection="1">
      <alignment horizontal="center"/>
      <protection hidden="1"/>
    </xf>
    <xf numFmtId="171" fontId="23" fillId="11" borderId="44" xfId="0" applyNumberFormat="1" applyFont="1" applyFill="1" applyBorder="1" applyAlignment="1" applyProtection="1">
      <alignment horizontal="center"/>
      <protection hidden="1"/>
    </xf>
    <xf numFmtId="171" fontId="23" fillId="11" borderId="45" xfId="0" applyNumberFormat="1" applyFont="1" applyFill="1" applyBorder="1" applyAlignment="1" applyProtection="1">
      <alignment horizontal="center"/>
      <protection hidden="1"/>
    </xf>
    <xf numFmtId="165" fontId="14" fillId="3" borderId="27" xfId="0" applyNumberFormat="1" applyFont="1" applyFill="1" applyBorder="1" applyAlignment="1" applyProtection="1">
      <alignment horizontal="center" vertical="center"/>
      <protection hidden="1"/>
    </xf>
    <xf numFmtId="165" fontId="12" fillId="10" borderId="10" xfId="0" applyNumberFormat="1" applyFont="1" applyFill="1" applyBorder="1" applyAlignment="1" applyProtection="1">
      <alignment horizontal="center" vertical="center"/>
      <protection hidden="1"/>
    </xf>
    <xf numFmtId="165" fontId="12" fillId="10" borderId="20" xfId="0" applyNumberFormat="1" applyFont="1" applyFill="1" applyBorder="1" applyAlignment="1" applyProtection="1">
      <alignment horizontal="center" vertical="center"/>
      <protection hidden="1"/>
    </xf>
    <xf numFmtId="165" fontId="12" fillId="10" borderId="19" xfId="0" applyNumberFormat="1" applyFont="1" applyFill="1" applyBorder="1" applyAlignment="1" applyProtection="1">
      <alignment horizontal="center" vertical="center"/>
      <protection hidden="1"/>
    </xf>
    <xf numFmtId="9" fontId="14" fillId="3" borderId="10" xfId="0" applyNumberFormat="1" applyFont="1" applyFill="1" applyBorder="1" applyAlignment="1" applyProtection="1">
      <alignment horizontal="center" vertical="center"/>
      <protection hidden="1"/>
    </xf>
    <xf numFmtId="9" fontId="14" fillId="3" borderId="20" xfId="0" applyNumberFormat="1" applyFont="1" applyFill="1" applyBorder="1" applyAlignment="1" applyProtection="1">
      <alignment horizontal="center" vertical="center"/>
      <protection hidden="1"/>
    </xf>
    <xf numFmtId="9" fontId="14" fillId="3" borderId="19" xfId="0" applyNumberFormat="1" applyFont="1" applyFill="1" applyBorder="1" applyAlignment="1" applyProtection="1">
      <alignment horizontal="center" vertical="center"/>
      <protection hidden="1"/>
    </xf>
    <xf numFmtId="165" fontId="12" fillId="4" borderId="37" xfId="0" applyNumberFormat="1" applyFont="1" applyFill="1" applyBorder="1" applyAlignment="1" applyProtection="1">
      <alignment horizontal="center" vertical="center"/>
      <protection hidden="1"/>
    </xf>
    <xf numFmtId="165" fontId="12" fillId="4" borderId="60" xfId="0" applyNumberFormat="1" applyFont="1" applyFill="1" applyBorder="1" applyAlignment="1" applyProtection="1">
      <alignment horizontal="center" vertical="center"/>
      <protection hidden="1"/>
    </xf>
    <xf numFmtId="165" fontId="12" fillId="4" borderId="35" xfId="0" applyNumberFormat="1" applyFont="1" applyFill="1" applyBorder="1" applyAlignment="1" applyProtection="1">
      <alignment horizontal="center" vertical="center"/>
      <protection hidden="1"/>
    </xf>
    <xf numFmtId="0" fontId="21" fillId="3" borderId="26" xfId="0" applyFont="1" applyFill="1" applyBorder="1" applyAlignment="1" applyProtection="1">
      <alignment horizontal="center"/>
      <protection hidden="1"/>
    </xf>
    <xf numFmtId="0" fontId="0" fillId="3" borderId="22" xfId="0" applyFill="1" applyBorder="1" applyAlignment="1" applyProtection="1">
      <alignment horizontal="center"/>
      <protection hidden="1"/>
    </xf>
    <xf numFmtId="0" fontId="13" fillId="3" borderId="92" xfId="0" applyFont="1" applyFill="1" applyBorder="1" applyAlignment="1" applyProtection="1">
      <alignment horizontal="center" vertical="center"/>
      <protection hidden="1"/>
    </xf>
    <xf numFmtId="0" fontId="13" fillId="3" borderId="93" xfId="0" applyFont="1" applyFill="1" applyBorder="1" applyAlignment="1" applyProtection="1">
      <alignment horizontal="center" vertical="center"/>
      <protection hidden="1"/>
    </xf>
    <xf numFmtId="0" fontId="0" fillId="8" borderId="110" xfId="0" applyFill="1" applyBorder="1" applyAlignment="1">
      <alignment horizontal="center"/>
    </xf>
    <xf numFmtId="0" fontId="0" fillId="8" borderId="90" xfId="0" applyFill="1" applyBorder="1" applyAlignment="1">
      <alignment horizontal="center"/>
    </xf>
    <xf numFmtId="0" fontId="0" fillId="8" borderId="111" xfId="0" applyFill="1" applyBorder="1" applyAlignment="1">
      <alignment horizontal="center"/>
    </xf>
    <xf numFmtId="0" fontId="0" fillId="8" borderId="104" xfId="0" applyFill="1" applyBorder="1" applyAlignment="1">
      <alignment horizontal="center"/>
    </xf>
    <xf numFmtId="0" fontId="0" fillId="8" borderId="109" xfId="0" applyFill="1" applyBorder="1" applyAlignment="1">
      <alignment horizontal="center"/>
    </xf>
    <xf numFmtId="0" fontId="33" fillId="3" borderId="112" xfId="0" applyFont="1" applyFill="1" applyBorder="1" applyAlignment="1" applyProtection="1">
      <alignment horizontal="center" vertical="center" textRotation="255"/>
      <protection hidden="1"/>
    </xf>
    <xf numFmtId="0" fontId="33" fillId="3" borderId="32" xfId="0" applyFont="1" applyFill="1" applyBorder="1" applyAlignment="1" applyProtection="1">
      <alignment horizontal="center" vertical="center" textRotation="255"/>
      <protection hidden="1"/>
    </xf>
    <xf numFmtId="0" fontId="33" fillId="3" borderId="12" xfId="0" applyFont="1" applyFill="1" applyBorder="1" applyAlignment="1" applyProtection="1">
      <alignment horizontal="center" vertical="center" textRotation="255"/>
      <protection hidden="1"/>
    </xf>
    <xf numFmtId="0" fontId="6" fillId="3" borderId="90" xfId="0" applyFont="1" applyFill="1" applyBorder="1" applyAlignment="1" applyProtection="1">
      <alignment horizontal="center" vertical="center"/>
      <protection hidden="1"/>
    </xf>
    <xf numFmtId="0" fontId="6" fillId="3" borderId="34" xfId="0" applyFont="1" applyFill="1" applyBorder="1" applyAlignment="1" applyProtection="1">
      <alignment horizontal="center" vertical="center"/>
      <protection hidden="1"/>
    </xf>
    <xf numFmtId="0" fontId="6" fillId="3" borderId="90" xfId="0" applyFont="1" applyFill="1" applyBorder="1" applyAlignment="1" applyProtection="1">
      <alignment horizontal="center" vertical="center" wrapText="1"/>
      <protection hidden="1"/>
    </xf>
    <xf numFmtId="0" fontId="6" fillId="3" borderId="34" xfId="0" applyFont="1" applyFill="1" applyBorder="1" applyAlignment="1" applyProtection="1">
      <alignment horizontal="center" vertical="center" wrapText="1"/>
      <protection hidden="1"/>
    </xf>
    <xf numFmtId="0" fontId="17" fillId="3" borderId="91" xfId="0" applyFont="1" applyFill="1" applyBorder="1" applyAlignment="1" applyProtection="1">
      <alignment horizontal="center" vertical="center" wrapText="1"/>
      <protection hidden="1"/>
    </xf>
    <xf numFmtId="0" fontId="17" fillId="3" borderId="21" xfId="0" applyFont="1" applyFill="1" applyBorder="1" applyAlignment="1" applyProtection="1">
      <alignment horizontal="center" vertical="center" wrapText="1"/>
      <protection hidden="1"/>
    </xf>
    <xf numFmtId="0" fontId="12" fillId="3" borderId="59" xfId="0" applyFont="1" applyFill="1" applyBorder="1" applyAlignment="1">
      <alignment horizontal="center"/>
    </xf>
  </cellXfs>
  <cellStyles count="2">
    <cellStyle name="Hiperłącze" xfId="1" builtinId="8"/>
    <cellStyle name="Normalny" xfId="0" builtinId="0"/>
  </cellStyles>
  <dxfs count="11">
    <dxf>
      <font>
        <color rgb="FF000F2E"/>
      </font>
    </dxf>
    <dxf>
      <font>
        <color rgb="FF002060"/>
      </font>
    </dxf>
    <dxf>
      <font>
        <color rgb="FF002060"/>
      </font>
    </dxf>
    <dxf>
      <font>
        <color rgb="FF002060"/>
      </font>
    </dxf>
    <dxf>
      <font>
        <color rgb="FF002060"/>
      </font>
    </dxf>
    <dxf>
      <font>
        <color rgb="FF002060"/>
      </font>
    </dxf>
    <dxf>
      <font>
        <color rgb="FF002060"/>
      </font>
    </dxf>
    <dxf>
      <font>
        <color rgb="FF002060"/>
      </font>
    </dxf>
    <dxf>
      <font>
        <color rgb="FF002060"/>
      </font>
    </dxf>
    <dxf>
      <font>
        <color rgb="FF002060"/>
      </font>
    </dxf>
    <dxf>
      <font>
        <color rgb="FF002060"/>
      </font>
    </dxf>
  </dxfs>
  <tableStyles count="0" defaultTableStyle="TableStyleMedium2" defaultPivotStyle="PivotStyleLight16"/>
  <colors>
    <mruColors>
      <color rgb="FF00FFCC"/>
      <color rgb="FF009999"/>
      <color rgb="FFFF3399"/>
      <color rgb="FFFF0066"/>
      <color rgb="FFFFCCFF"/>
      <color rgb="FF33CCCC"/>
      <color rgb="FF00FFFF"/>
      <color rgb="FF66CCFF"/>
      <color rgb="FF000F2E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17/10/relationships/person" Target="persons/person13.xml"/><Relationship Id="rId21" Type="http://schemas.microsoft.com/office/2017/10/relationships/person" Target="persons/person8.xml"/><Relationship Id="rId34" Type="http://schemas.microsoft.com/office/2017/10/relationships/person" Target="persons/person21.xml"/><Relationship Id="rId42" Type="http://schemas.microsoft.com/office/2017/10/relationships/person" Target="persons/person29.xml"/><Relationship Id="rId47" Type="http://schemas.microsoft.com/office/2017/10/relationships/person" Target="persons/person33.xml"/><Relationship Id="rId50" Type="http://schemas.microsoft.com/office/2017/10/relationships/person" Target="persons/person37.xml"/><Relationship Id="rId55" Type="http://schemas.microsoft.com/office/2017/10/relationships/person" Target="persons/person41.xml"/><Relationship Id="rId63" Type="http://schemas.microsoft.com/office/2017/10/relationships/person" Target="persons/person50.xml"/><Relationship Id="rId68" Type="http://schemas.microsoft.com/office/2017/10/relationships/person" Target="persons/person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17/10/relationships/person" Target="persons/person4.xml"/><Relationship Id="rId29" Type="http://schemas.microsoft.com/office/2017/10/relationships/person" Target="persons/person16.xml"/><Relationship Id="rId24" Type="http://schemas.microsoft.com/office/2017/10/relationships/person" Target="persons/person11.xml"/><Relationship Id="rId32" Type="http://schemas.microsoft.com/office/2017/10/relationships/person" Target="persons/person19.xml"/><Relationship Id="rId37" Type="http://schemas.microsoft.com/office/2017/10/relationships/person" Target="persons/person24.xml"/><Relationship Id="rId40" Type="http://schemas.microsoft.com/office/2017/10/relationships/person" Target="persons/person27.xml"/><Relationship Id="rId45" Type="http://schemas.microsoft.com/office/2017/10/relationships/person" Target="persons/person32.xml"/><Relationship Id="rId53" Type="http://schemas.microsoft.com/office/2017/10/relationships/person" Target="persons/person40.xml"/><Relationship Id="rId58" Type="http://schemas.microsoft.com/office/2017/10/relationships/person" Target="persons/person43.xml"/><Relationship Id="rId66" Type="http://schemas.microsoft.com/office/2017/10/relationships/person" Target="persons/person53.xml"/><Relationship Id="rId5" Type="http://schemas.openxmlformats.org/officeDocument/2006/relationships/worksheet" Target="worksheets/sheet5.xml"/><Relationship Id="rId61" Type="http://schemas.microsoft.com/office/2017/10/relationships/person" Target="persons/person46.xml"/><Relationship Id="rId19" Type="http://schemas.microsoft.com/office/2017/10/relationships/person" Target="persons/person7.xml"/><Relationship Id="rId56" Type="http://schemas.microsoft.com/office/2017/10/relationships/person" Target="persons/person45.xml"/><Relationship Id="rId48" Type="http://schemas.microsoft.com/office/2017/10/relationships/person" Target="persons/person36.xml"/><Relationship Id="rId43" Type="http://schemas.microsoft.com/office/2017/10/relationships/person" Target="persons/person31.xml"/><Relationship Id="rId35" Type="http://schemas.microsoft.com/office/2017/10/relationships/person" Target="persons/person23.xml"/><Relationship Id="rId30" Type="http://schemas.microsoft.com/office/2017/10/relationships/person" Target="persons/person18.xml"/><Relationship Id="rId27" Type="http://schemas.microsoft.com/office/2017/10/relationships/person" Target="persons/person15.xml"/><Relationship Id="rId22" Type="http://schemas.microsoft.com/office/2017/10/relationships/person" Target="persons/person10.xml"/><Relationship Id="rId14" Type="http://schemas.microsoft.com/office/2017/10/relationships/person" Target="persons/person3.xml"/><Relationship Id="rId64" Type="http://schemas.microsoft.com/office/2017/10/relationships/person" Target="persons/person51.xml"/><Relationship Id="rId8" Type="http://schemas.openxmlformats.org/officeDocument/2006/relationships/sharedStrings" Target="sharedStrings.xml"/><Relationship Id="rId51" Type="http://schemas.microsoft.com/office/2017/10/relationships/person" Target="persons/person39.xml"/><Relationship Id="rId3" Type="http://schemas.openxmlformats.org/officeDocument/2006/relationships/worksheet" Target="worksheets/sheet3.xml"/><Relationship Id="rId59" Type="http://schemas.microsoft.com/office/2017/10/relationships/person" Target="persons/person48.xml"/><Relationship Id="rId46" Type="http://schemas.microsoft.com/office/2017/10/relationships/person" Target="persons/person34.xml"/><Relationship Id="rId17" Type="http://schemas.microsoft.com/office/2017/10/relationships/person" Target="persons/person5.xml"/><Relationship Id="rId25" Type="http://schemas.microsoft.com/office/2017/10/relationships/person" Target="persons/person12.xml"/><Relationship Id="rId33" Type="http://schemas.microsoft.com/office/2017/10/relationships/person" Target="persons/person20.xml"/><Relationship Id="rId38" Type="http://schemas.microsoft.com/office/2017/10/relationships/person" Target="persons/person25.xml"/><Relationship Id="rId67" Type="http://schemas.microsoft.com/office/2017/10/relationships/person" Target="persons/person54.xml"/><Relationship Id="rId62" Type="http://schemas.microsoft.com/office/2017/10/relationships/person" Target="persons/person49.xml"/><Relationship Id="rId54" Type="http://schemas.microsoft.com/office/2017/10/relationships/person" Target="persons/person42.xml"/><Relationship Id="rId20" Type="http://schemas.microsoft.com/office/2017/10/relationships/person" Target="persons/person0.xml"/><Relationship Id="rId41" Type="http://schemas.microsoft.com/office/2017/10/relationships/person" Target="persons/person28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7" Type="http://schemas.microsoft.com/office/2017/10/relationships/person" Target="persons/person44.xml"/><Relationship Id="rId15" Type="http://schemas.microsoft.com/office/2017/10/relationships/person" Target="persons/person2.xml"/><Relationship Id="rId23" Type="http://schemas.microsoft.com/office/2017/10/relationships/person" Target="persons/person9.xml"/><Relationship Id="rId28" Type="http://schemas.microsoft.com/office/2017/10/relationships/person" Target="persons/person14.xml"/><Relationship Id="rId36" Type="http://schemas.microsoft.com/office/2017/10/relationships/person" Target="persons/person22.xml"/><Relationship Id="rId49" Type="http://schemas.microsoft.com/office/2017/10/relationships/person" Target="persons/person35.xml"/><Relationship Id="rId10" Type="http://schemas.microsoft.com/office/2006/relationships/vbaProject" Target="vbaProject.bin"/><Relationship Id="rId60" Type="http://schemas.microsoft.com/office/2017/10/relationships/person" Target="persons/person47.xml"/><Relationship Id="rId31" Type="http://schemas.microsoft.com/office/2017/10/relationships/person" Target="persons/person17.xml"/><Relationship Id="rId44" Type="http://schemas.microsoft.com/office/2017/10/relationships/person" Target="persons/person30.xml"/><Relationship Id="rId52" Type="http://schemas.microsoft.com/office/2017/10/relationships/person" Target="persons/person38.xml"/><Relationship Id="rId65" Type="http://schemas.microsoft.com/office/2017/10/relationships/person" Target="persons/person52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3" Type="http://schemas.microsoft.com/office/2017/10/relationships/person" Target="persons/person1.xml"/><Relationship Id="rId18" Type="http://schemas.microsoft.com/office/2017/10/relationships/person" Target="persons/person6.xml"/><Relationship Id="rId39" Type="http://schemas.microsoft.com/office/2017/10/relationships/person" Target="persons/person2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2400" b="0" i="0" u="none" strike="noStrike" kern="1200" spc="0" baseline="0">
                <a:solidFill>
                  <a:srgbClr val="00FFFF"/>
                </a:solidFill>
                <a:latin typeface="Bookman Old Style" panose="02050604050505020204" pitchFamily="18" charset="0"/>
                <a:ea typeface="+mn-ea"/>
                <a:cs typeface="+mn-cs"/>
              </a:defRPr>
            </a:pPr>
            <a:r>
              <a:rPr lang="pl-PL" sz="2400" b="1" u="none">
                <a:solidFill>
                  <a:srgbClr val="00FFFF"/>
                </a:solidFill>
                <a:latin typeface="Bookman Old Style" panose="02050604050505020204" pitchFamily="18" charset="0"/>
              </a:rPr>
              <a:t>TENDENCJA</a:t>
            </a:r>
            <a:r>
              <a:rPr lang="pl-PL" sz="2400" b="1" u="none" baseline="0">
                <a:solidFill>
                  <a:srgbClr val="00FFFF"/>
                </a:solidFill>
                <a:latin typeface="Bookman Old Style" panose="02050604050505020204" pitchFamily="18" charset="0"/>
              </a:rPr>
              <a:t> OPŁAT ZA ENERGIĘ ELEKTRYCZNĄ</a:t>
            </a:r>
            <a:endParaRPr lang="pl-PL" sz="2400" b="1" u="none">
              <a:solidFill>
                <a:srgbClr val="00FFFF"/>
              </a:solidFill>
              <a:latin typeface="Bookman Old Style" panose="02050604050505020204" pitchFamily="18" charset="0"/>
            </a:endParaRPr>
          </a:p>
        </c:rich>
      </c:tx>
      <c:layout>
        <c:manualLayout>
          <c:xMode val="edge"/>
          <c:yMode val="edge"/>
          <c:x val="0.30284254192802174"/>
          <c:y val="3.34078359775923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2400" b="0" i="0" u="none" strike="noStrike" kern="1200" spc="0" baseline="0">
              <a:solidFill>
                <a:srgbClr val="00FFFF"/>
              </a:solidFill>
              <a:latin typeface="Bookman Old Style" panose="02050604050505020204" pitchFamily="18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FAKTURY VAT</c:v>
          </c:tx>
          <c:spPr>
            <a:ln w="57150" cap="flat">
              <a:solidFill>
                <a:srgbClr val="FFFF00"/>
              </a:solidFill>
              <a:round/>
              <a:tailEnd type="arrow" w="lg" len="lg"/>
            </a:ln>
            <a:effectLst>
              <a:softEdge rad="0"/>
            </a:effectLst>
          </c:spPr>
          <c:marker>
            <c:symbol val="circle"/>
            <c:size val="13"/>
            <c:spPr>
              <a:solidFill>
                <a:schemeClr val="bg1"/>
              </a:solidFill>
              <a:ln w="63500">
                <a:solidFill>
                  <a:srgbClr val="FF0000"/>
                </a:solidFill>
              </a:ln>
              <a:effectLst>
                <a:softEdge rad="0"/>
              </a:effectLst>
              <a:scene3d>
                <a:camera prst="orthographicFront"/>
                <a:lightRig rig="balanced" dir="t"/>
              </a:scene3d>
              <a:sp3d prstMaterial="metal">
                <a:bevelT prst="angle"/>
                <a:bevelB w="152400" h="50800" prst="softRound"/>
              </a:sp3d>
            </c:spPr>
          </c:marker>
          <c:dPt>
            <c:idx val="11"/>
            <c:marker>
              <c:symbol val="circle"/>
              <c:size val="13"/>
              <c:spPr>
                <a:solidFill>
                  <a:schemeClr val="bg1"/>
                </a:solidFill>
                <a:ln w="63500">
                  <a:solidFill>
                    <a:srgbClr val="FF0000"/>
                  </a:solidFill>
                </a:ln>
                <a:effectLst>
                  <a:softEdge rad="0"/>
                </a:effectLst>
                <a:scene3d>
                  <a:camera prst="orthographicFront"/>
                  <a:lightRig rig="balanced" dir="t"/>
                </a:scene3d>
                <a:sp3d prstMaterial="metal">
                  <a:bevelT prst="angle"/>
                  <a:bevelB w="152400" h="50800" prst="softRound"/>
                </a:sp3d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C03C-4C6C-A7A9-F082D31E2497}"/>
              </c:ext>
            </c:extLst>
          </c:dPt>
          <c:dLbls>
            <c:numFmt formatCode="#,##0.00\ &quot;zł&quot;" sourceLinked="0"/>
            <c:spPr>
              <a:solidFill>
                <a:srgbClr val="00FFFF"/>
              </a:solidFill>
              <a:ln w="25400">
                <a:noFill/>
                <a:prstDash val="solid"/>
              </a:ln>
              <a:effectLst>
                <a:innerShdw blurRad="152400">
                  <a:prstClr val="black">
                    <a:alpha val="79000"/>
                  </a:prstClr>
                </a:innerShdw>
                <a:softEdge rad="139700"/>
              </a:effectLst>
              <a:scene3d>
                <a:camera prst="orthographicFront"/>
                <a:lightRig rig="twoPt" dir="t"/>
              </a:scene3d>
              <a:sp3d prstMaterial="dkEdge">
                <a:bevelT/>
                <a:bevelB/>
              </a:sp3d>
            </c:spPr>
            <c:txPr>
              <a:bodyPr rot="0" spcFirstLastPara="1" vertOverflow="clip" horzOverflow="clip" vert="horz" wrap="square" lIns="36000" tIns="36000" rIns="36000" bIns="36000" anchor="ctr" anchorCtr="0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002060"/>
                    </a:solidFill>
                    <a:effectLst>
                      <a:innerShdw blurRad="63500" dist="50800" dir="13500000">
                        <a:prstClr val="black">
                          <a:alpha val="50000"/>
                        </a:prstClr>
                      </a:innerShdw>
                    </a:effectLst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b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'Energia elektryczna'!$B$3:$B$14</c:f>
              <c:numCache>
                <c:formatCode>m/d/yyyy</c:formatCode>
                <c:ptCount val="12"/>
                <c:pt idx="0">
                  <c:v>44932</c:v>
                </c:pt>
                <c:pt idx="1">
                  <c:v>44963</c:v>
                </c:pt>
                <c:pt idx="2">
                  <c:v>44991</c:v>
                </c:pt>
                <c:pt idx="3">
                  <c:v>45022</c:v>
                </c:pt>
                <c:pt idx="4">
                  <c:v>45052</c:v>
                </c:pt>
                <c:pt idx="5">
                  <c:v>45083</c:v>
                </c:pt>
                <c:pt idx="6">
                  <c:v>45113</c:v>
                </c:pt>
                <c:pt idx="7">
                  <c:v>45144</c:v>
                </c:pt>
                <c:pt idx="8">
                  <c:v>45175</c:v>
                </c:pt>
                <c:pt idx="9">
                  <c:v>45205</c:v>
                </c:pt>
                <c:pt idx="10">
                  <c:v>45236</c:v>
                </c:pt>
                <c:pt idx="11">
                  <c:v>45266</c:v>
                </c:pt>
              </c:numCache>
            </c:numRef>
          </c:cat>
          <c:val>
            <c:numRef>
              <c:f>'Energia elektryczna'!$O$3:$O$14</c:f>
              <c:numCache>
                <c:formatCode>#\ ##0.00\ "zł"</c:formatCode>
                <c:ptCount val="12"/>
                <c:pt idx="0">
                  <c:v>186.12420000000003</c:v>
                </c:pt>
                <c:pt idx="1">
                  <c:v>242.5914499999999</c:v>
                </c:pt>
                <c:pt idx="2">
                  <c:v>191.91719999999987</c:v>
                </c:pt>
                <c:pt idx="3">
                  <c:v>202.14659999999992</c:v>
                </c:pt>
                <c:pt idx="4">
                  <c:v>251.41000000000003</c:v>
                </c:pt>
                <c:pt idx="5">
                  <c:v>211.81</c:v>
                </c:pt>
                <c:pt idx="6">
                  <c:v>223.8183249999999</c:v>
                </c:pt>
                <c:pt idx="7">
                  <c:v>232.74875</c:v>
                </c:pt>
                <c:pt idx="8">
                  <c:v>212.62920000000005</c:v>
                </c:pt>
                <c:pt idx="9">
                  <c:v>230.1968500000001</c:v>
                </c:pt>
                <c:pt idx="10">
                  <c:v>247.82719999999995</c:v>
                </c:pt>
                <c:pt idx="11">
                  <c:v>274.34300000000002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03C-4C6C-A7A9-F082D31E2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88911"/>
        <c:axId val="18778351"/>
      </c:lineChart>
      <c:dateAx>
        <c:axId val="18788911"/>
        <c:scaling>
          <c:orientation val="minMax"/>
        </c:scaling>
        <c:delete val="1"/>
        <c:axPos val="b"/>
        <c:majorGridlines>
          <c:spPr>
            <a:ln w="19050" cap="flat" cmpd="sng" algn="ctr">
              <a:solidFill>
                <a:srgbClr val="0070C0"/>
              </a:solidFill>
              <a:prstDash val="sysDash"/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crossAx val="18778351"/>
        <c:crossesAt val="0"/>
        <c:auto val="1"/>
        <c:lblOffset val="100"/>
        <c:baseTimeUnit val="months"/>
      </c:dateAx>
      <c:valAx>
        <c:axId val="18778351"/>
        <c:scaling>
          <c:orientation val="minMax"/>
        </c:scaling>
        <c:delete val="0"/>
        <c:axPos val="l"/>
        <c:majorGridlines>
          <c:spPr>
            <a:ln w="25400" cap="flat" cmpd="sng" algn="ctr">
              <a:solidFill>
                <a:srgbClr val="0070C0"/>
              </a:solidFill>
              <a:prstDash val="sysDash"/>
              <a:round/>
            </a:ln>
            <a:effectLst/>
          </c:spPr>
        </c:majorGridlines>
        <c:numFmt formatCode="#\ ##0.00\ &quot;zł&quot;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788911"/>
        <c:crosses val="autoZero"/>
        <c:crossBetween val="between"/>
      </c:valAx>
      <c:spPr>
        <a:noFill/>
        <a:ln w="57150" cap="rnd" cmpd="sng">
          <a:noFill/>
          <a:prstDash val="solid"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0F2E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pl-PL" sz="800" b="1" u="none" baseline="0">
                <a:solidFill>
                  <a:srgbClr val="C00000"/>
                </a:solidFill>
                <a:latin typeface="Bookman Old Style" panose="02050604050505020204" pitchFamily="18" charset="0"/>
              </a:rPr>
              <a:t>TREND CENY - ENERGIA CZYNNA (1 kWh)</a:t>
            </a:r>
            <a:endParaRPr lang="pl-PL" sz="800" b="1" u="none">
              <a:solidFill>
                <a:srgbClr val="C00000"/>
              </a:solidFill>
              <a:latin typeface="Bookman Old Style" panose="02050604050505020204" pitchFamily="18" charset="0"/>
            </a:endParaRPr>
          </a:p>
        </c:rich>
      </c:tx>
      <c:layout>
        <c:manualLayout>
          <c:xMode val="edge"/>
          <c:yMode val="edge"/>
          <c:x val="0.13347294629670825"/>
          <c:y val="3.72092863396064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2018946374449808"/>
          <c:y val="0.16951172051769392"/>
          <c:w val="0.75594860836268574"/>
          <c:h val="0.75559711286089226"/>
        </c:manualLayout>
      </c:layout>
      <c:lineChart>
        <c:grouping val="standard"/>
        <c:varyColors val="0"/>
        <c:ser>
          <c:idx val="0"/>
          <c:order val="0"/>
          <c:tx>
            <c:v>CENA 1 KWH</c:v>
          </c:tx>
          <c:spPr>
            <a:ln w="38100" cap="rnd">
              <a:solidFill>
                <a:srgbClr val="FFFF00"/>
              </a:solidFill>
              <a:round/>
              <a:tailEnd type="arrow" w="med" len="sm"/>
            </a:ln>
            <a:effectLst>
              <a:softEdge rad="0"/>
            </a:effectLst>
          </c:spPr>
          <c:marker>
            <c:symbol val="circle"/>
            <c:size val="5"/>
            <c:spPr>
              <a:solidFill>
                <a:schemeClr val="bg1"/>
              </a:solidFill>
              <a:ln w="31750">
                <a:solidFill>
                  <a:srgbClr val="FF0000"/>
                </a:solidFill>
              </a:ln>
              <a:effectLst>
                <a:softEdge rad="0"/>
              </a:effectLst>
            </c:spPr>
          </c:marker>
          <c:cat>
            <c:numRef>
              <c:f>'Energia elektryczna'!$B$3:$B$14</c:f>
              <c:numCache>
                <c:formatCode>m/d/yyyy</c:formatCode>
                <c:ptCount val="12"/>
                <c:pt idx="0">
                  <c:v>44932</c:v>
                </c:pt>
                <c:pt idx="1">
                  <c:v>44963</c:v>
                </c:pt>
                <c:pt idx="2">
                  <c:v>44991</c:v>
                </c:pt>
                <c:pt idx="3">
                  <c:v>45022</c:v>
                </c:pt>
                <c:pt idx="4">
                  <c:v>45052</c:v>
                </c:pt>
                <c:pt idx="5">
                  <c:v>45083</c:v>
                </c:pt>
                <c:pt idx="6">
                  <c:v>45113</c:v>
                </c:pt>
                <c:pt idx="7">
                  <c:v>45144</c:v>
                </c:pt>
                <c:pt idx="8">
                  <c:v>45175</c:v>
                </c:pt>
                <c:pt idx="9">
                  <c:v>45205</c:v>
                </c:pt>
                <c:pt idx="10">
                  <c:v>45236</c:v>
                </c:pt>
                <c:pt idx="11">
                  <c:v>45266</c:v>
                </c:pt>
              </c:numCache>
            </c:numRef>
          </c:cat>
          <c:val>
            <c:numRef>
              <c:f>'Energia elektryczna'!$K$3:$K$14</c:f>
              <c:numCache>
                <c:formatCode>#\ ##0.00\ "zł"</c:formatCode>
                <c:ptCount val="12"/>
                <c:pt idx="0">
                  <c:v>0.9345</c:v>
                </c:pt>
                <c:pt idx="1">
                  <c:v>0.9345</c:v>
                </c:pt>
                <c:pt idx="2">
                  <c:v>0.99749999999999994</c:v>
                </c:pt>
                <c:pt idx="3">
                  <c:v>1.0185</c:v>
                </c:pt>
                <c:pt idx="4">
                  <c:v>1.1025</c:v>
                </c:pt>
                <c:pt idx="5">
                  <c:v>1.113</c:v>
                </c:pt>
                <c:pt idx="6">
                  <c:v>1.1445000000000001</c:v>
                </c:pt>
                <c:pt idx="7">
                  <c:v>1.155</c:v>
                </c:pt>
                <c:pt idx="8">
                  <c:v>1.1760000000000002</c:v>
                </c:pt>
                <c:pt idx="9">
                  <c:v>1.2389999999999999</c:v>
                </c:pt>
                <c:pt idx="10">
                  <c:v>1.3440000000000001</c:v>
                </c:pt>
                <c:pt idx="11">
                  <c:v>1.4280000000000002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2F3-4EA9-8567-E367E07B8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090383"/>
        <c:axId val="147091343"/>
      </c:lineChart>
      <c:dateAx>
        <c:axId val="147090383"/>
        <c:scaling>
          <c:orientation val="minMax"/>
        </c:scaling>
        <c:delete val="1"/>
        <c:axPos val="b"/>
        <c:numFmt formatCode="m/d/yyyy" sourceLinked="1"/>
        <c:majorTickMark val="none"/>
        <c:minorTickMark val="none"/>
        <c:tickLblPos val="nextTo"/>
        <c:crossAx val="147091343"/>
        <c:crosses val="autoZero"/>
        <c:auto val="0"/>
        <c:lblOffset val="100"/>
        <c:baseTimeUnit val="months"/>
      </c:dateAx>
      <c:valAx>
        <c:axId val="147091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70C0"/>
              </a:solidFill>
              <a:prstDash val="sysDash"/>
              <a:round/>
            </a:ln>
            <a:effectLst/>
          </c:spPr>
        </c:majorGridlines>
        <c:numFmt formatCode="#,##0.00\ &quot;zł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7090383"/>
        <c:crosses val="autoZero"/>
        <c:crossBetween val="between"/>
      </c:valAx>
      <c:spPr>
        <a:noFill/>
        <a:ln>
          <a:noFill/>
        </a:ln>
        <a:effectLst>
          <a:outerShdw blurRad="50800" dist="50800" dir="5400000" algn="ctr" rotWithShape="0">
            <a:srgbClr val="000000">
              <a:alpha val="43137"/>
            </a:srgbClr>
          </a:outerShdw>
          <a:softEdge rad="63500"/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pl-PL" sz="1200" b="1" u="none">
                <a:solidFill>
                  <a:srgbClr val="C00000"/>
                </a:solidFill>
                <a:latin typeface="Bookman Old Style" panose="02050604050505020204" pitchFamily="18" charset="0"/>
              </a:rPr>
              <a:t>ŚREDNIE</a:t>
            </a:r>
            <a:r>
              <a:rPr lang="pl-PL" sz="1200" b="1" u="none" baseline="0">
                <a:solidFill>
                  <a:srgbClr val="C00000"/>
                </a:solidFill>
                <a:latin typeface="Bookman Old Style" panose="02050604050505020204" pitchFamily="18" charset="0"/>
              </a:rPr>
              <a:t> DOBOWE ZUŻYĆ ENERGII ELEKTRYCZNEJ</a:t>
            </a:r>
            <a:endParaRPr lang="pl-PL" sz="1200" b="1" u="none">
              <a:solidFill>
                <a:srgbClr val="C00000"/>
              </a:solidFill>
              <a:latin typeface="Bookman Old Style" panose="02050604050505020204" pitchFamily="18" charset="0"/>
            </a:endParaRPr>
          </a:p>
        </c:rich>
      </c:tx>
      <c:layout>
        <c:manualLayout>
          <c:xMode val="edge"/>
          <c:yMode val="edge"/>
          <c:x val="0.1491838286016727"/>
          <c:y val="6.5587423099798162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v>ŚREDNIE DOBOWE ZUŻYCIE PRĄDU ELEKTRYCZNEGO</c:v>
          </c:tx>
          <c:spPr>
            <a:solidFill>
              <a:srgbClr val="FFFF00"/>
            </a:solidFill>
            <a:ln w="12700">
              <a:solidFill>
                <a:schemeClr val="accent4">
                  <a:lumMod val="75000"/>
                </a:schemeClr>
              </a:solidFill>
            </a:ln>
            <a:effectLst/>
            <a:sp3d contourW="12700">
              <a:contourClr>
                <a:schemeClr val="accent4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>
                <a:glow rad="101600">
                  <a:schemeClr val="bg1"/>
                </a:glow>
                <a:softEdge rad="50800"/>
              </a:effectLst>
            </c:spPr>
            <c:txPr>
              <a:bodyPr rot="0" spcFirstLastPara="1" vertOverflow="ellipsis" vert="horz" wrap="square" lIns="36000" tIns="36000" rIns="36000" bIns="36000" anchor="t" anchorCtr="1">
                <a:spAutoFit/>
              </a:bodyPr>
              <a:lstStyle/>
              <a:p>
                <a:pPr algn="ctr"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Ebrima" panose="02000000000000000000" pitchFamily="2" charset="0"/>
                    <a:ea typeface="Ebrima" panose="02000000000000000000" pitchFamily="2" charset="0"/>
                    <a:cs typeface="Ebrima" panose="02000000000000000000" pitchFamily="2" charset="0"/>
                  </a:defRPr>
                </a:pPr>
                <a:endParaRPr lang="pl-P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'Energia elektryczna'!$I$3:$I$14</c:f>
              <c:numCache>
                <c:formatCode>0.00_/\k\W\h</c:formatCode>
                <c:ptCount val="12"/>
                <c:pt idx="0">
                  <c:v>2.696774193548388</c:v>
                </c:pt>
                <c:pt idx="1">
                  <c:v>2.7129032258064485</c:v>
                </c:pt>
                <c:pt idx="2">
                  <c:v>2.8971428571428532</c:v>
                </c:pt>
                <c:pt idx="3">
                  <c:v>2.696774193548384</c:v>
                </c:pt>
                <c:pt idx="4">
                  <c:v>2.8</c:v>
                </c:pt>
                <c:pt idx="5">
                  <c:v>2.5806451612903225</c:v>
                </c:pt>
                <c:pt idx="6">
                  <c:v>2.6616666666666635</c:v>
                </c:pt>
                <c:pt idx="7">
                  <c:v>2.524193548387097</c:v>
                </c:pt>
                <c:pt idx="8">
                  <c:v>2.5145161290322595</c:v>
                </c:pt>
                <c:pt idx="9">
                  <c:v>2.6383333333333363</c:v>
                </c:pt>
                <c:pt idx="10">
                  <c:v>2.66290322580645</c:v>
                </c:pt>
                <c:pt idx="11">
                  <c:v>2.8250000000000002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BD-4691-9142-E5E95E481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6"/>
        <c:gapDepth val="33"/>
        <c:shape val="cylinder"/>
        <c:axId val="351867503"/>
        <c:axId val="351872303"/>
        <c:axId val="0"/>
      </c:bar3DChart>
      <c:catAx>
        <c:axId val="3518675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51872303"/>
        <c:crosses val="autoZero"/>
        <c:auto val="1"/>
        <c:lblAlgn val="ctr"/>
        <c:lblOffset val="100"/>
        <c:noMultiLvlLbl val="0"/>
      </c:catAx>
      <c:valAx>
        <c:axId val="351872303"/>
        <c:scaling>
          <c:orientation val="minMax"/>
        </c:scaling>
        <c:delete val="1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0.00_/\k\W\h" sourceLinked="1"/>
        <c:majorTickMark val="none"/>
        <c:minorTickMark val="none"/>
        <c:tickLblPos val="nextTo"/>
        <c:crossAx val="351867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pl-PL" b="1">
                <a:solidFill>
                  <a:srgbClr val="FFC000"/>
                </a:solidFill>
              </a:rPr>
              <a:t>OPŁATY</a:t>
            </a:r>
            <a:r>
              <a:rPr lang="pl-PL" b="1" baseline="0">
                <a:solidFill>
                  <a:srgbClr val="FFC000"/>
                </a:solidFill>
              </a:rPr>
              <a:t> ZA FAKTURY VAT</a:t>
            </a:r>
            <a:endParaRPr lang="pl-PL" b="1">
              <a:solidFill>
                <a:srgbClr val="FFC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FFC000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1"/>
          <c:order val="0"/>
          <c:spPr>
            <a:solidFill>
              <a:srgbClr val="00B0F0"/>
            </a:solidFill>
            <a:ln>
              <a:noFill/>
            </a:ln>
            <a:effectLst>
              <a:innerShdw blurRad="63500" dist="50800" dir="18900000">
                <a:srgbClr val="00B0F0">
                  <a:alpha val="50000"/>
                </a:srgbClr>
              </a:innerShdw>
            </a:effectLst>
            <a:sp3d/>
          </c:spPr>
          <c:invertIfNegative val="0"/>
          <c:val>
            <c:numRef>
              <c:f>Woda!$N$2:$N$13</c:f>
              <c:numCache>
                <c:formatCode>#\ ##0.00\ "zł"</c:formatCode>
                <c:ptCount val="12"/>
                <c:pt idx="0">
                  <c:v>136.31</c:v>
                </c:pt>
                <c:pt idx="1">
                  <c:v>149.06</c:v>
                </c:pt>
                <c:pt idx="2">
                  <c:v>162.82</c:v>
                </c:pt>
                <c:pt idx="3">
                  <c:v>148.28</c:v>
                </c:pt>
                <c:pt idx="4">
                  <c:v>136.31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46-4BA1-BBA1-67C375603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461119"/>
        <c:axId val="2470719"/>
        <c:axId val="0"/>
      </c:bar3DChart>
      <c:catAx>
        <c:axId val="24611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70719"/>
        <c:crosses val="autoZero"/>
        <c:auto val="1"/>
        <c:lblAlgn val="ctr"/>
        <c:lblOffset val="100"/>
        <c:noMultiLvlLbl val="0"/>
      </c:catAx>
      <c:valAx>
        <c:axId val="2470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zł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61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mailto:p.bodych1993@outlook.com?subject=POMOC%20TECHNICZNA%20-%20%3cwpisz%20temat%20wiadomo&#347;ci%20e-mail%3e" TargetMode="External"/><Relationship Id="rId13" Type="http://schemas.openxmlformats.org/officeDocument/2006/relationships/image" Target="../media/image6.png"/><Relationship Id="rId18" Type="http://schemas.openxmlformats.org/officeDocument/2006/relationships/hyperlink" Target="https://www.tauron.pl/dla-domu/oferta?of=1" TargetMode="External"/><Relationship Id="rId3" Type="http://schemas.openxmlformats.org/officeDocument/2006/relationships/chart" Target="../charts/chart2.xml"/><Relationship Id="rId21" Type="http://schemas.openxmlformats.org/officeDocument/2006/relationships/image" Target="../media/image11.png"/><Relationship Id="rId7" Type="http://schemas.openxmlformats.org/officeDocument/2006/relationships/image" Target="../media/image3.jpeg"/><Relationship Id="rId12" Type="http://schemas.openxmlformats.org/officeDocument/2006/relationships/hyperlink" Target="https://www.energetyka-polska.pl/" TargetMode="External"/><Relationship Id="rId17" Type="http://schemas.openxmlformats.org/officeDocument/2006/relationships/image" Target="../media/image9.png"/><Relationship Id="rId2" Type="http://schemas.openxmlformats.org/officeDocument/2006/relationships/chart" Target="../charts/chart1.xml"/><Relationship Id="rId16" Type="http://schemas.openxmlformats.org/officeDocument/2006/relationships/hyperlink" Target="https://www.gkpge.pl/dla-firm/oferta" TargetMode="External"/><Relationship Id="rId20" Type="http://schemas.openxmlformats.org/officeDocument/2006/relationships/hyperlink" Target="https://www.energa.pl/dom/oferty.html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www.thunderbird.net/en-US/download/?downloaded=True&amp;download_channel=esr" TargetMode="External"/><Relationship Id="rId11" Type="http://schemas.openxmlformats.org/officeDocument/2006/relationships/image" Target="../media/image5.svg"/><Relationship Id="rId5" Type="http://schemas.openxmlformats.org/officeDocument/2006/relationships/image" Target="../media/image2.jpeg"/><Relationship Id="rId15" Type="http://schemas.openxmlformats.org/officeDocument/2006/relationships/image" Target="../media/image8.jpeg"/><Relationship Id="rId23" Type="http://schemas.openxmlformats.org/officeDocument/2006/relationships/image" Target="../media/image12.png"/><Relationship Id="rId10" Type="http://schemas.openxmlformats.org/officeDocument/2006/relationships/image" Target="../media/image4.png"/><Relationship Id="rId19" Type="http://schemas.openxmlformats.org/officeDocument/2006/relationships/image" Target="../media/image10.jpeg"/><Relationship Id="rId4" Type="http://schemas.openxmlformats.org/officeDocument/2006/relationships/chart" Target="../charts/chart3.xml"/><Relationship Id="rId9" Type="http://schemas.openxmlformats.org/officeDocument/2006/relationships/hyperlink" Target="https://www.facebook.com/bodychpiotr/" TargetMode="External"/><Relationship Id="rId14" Type="http://schemas.openxmlformats.org/officeDocument/2006/relationships/image" Target="../media/image7.svg"/><Relationship Id="rId22" Type="http://schemas.openxmlformats.org/officeDocument/2006/relationships/hyperlink" Target="https://www.orange.pl/view/energia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14.jpeg"/><Relationship Id="rId1" Type="http://schemas.openxmlformats.org/officeDocument/2006/relationships/image" Target="../media/image1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713013</xdr:colOff>
          <xdr:row>16</xdr:row>
          <xdr:rowOff>69397</xdr:rowOff>
        </xdr:from>
        <xdr:to>
          <xdr:col>7</xdr:col>
          <xdr:colOff>142875</xdr:colOff>
          <xdr:row>17</xdr:row>
          <xdr:rowOff>157372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713013" y="5022397"/>
              <a:ext cx="7985044" cy="278475"/>
              <a:chOff x="436788" y="5060497"/>
              <a:chExt cx="7888064" cy="288000"/>
            </a:xfrm>
          </xdr:grpSpPr>
          <xdr:sp macro="" textlink="">
            <xdr:nvSpPr>
              <xdr:cNvPr id="6145" name="Button 1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000-000001180000}"/>
                  </a:ext>
                </a:extLst>
              </xdr:cNvPr>
              <xdr:cNvSpPr/>
            </xdr:nvSpPr>
            <xdr:spPr bwMode="auto">
              <a:xfrm>
                <a:off x="3714818" y="5060497"/>
                <a:ext cx="133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l-PL" sz="9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 WSZYSTKO</a:t>
                </a:r>
              </a:p>
            </xdr:txBody>
          </xdr:sp>
          <xdr:sp macro="" textlink="">
            <xdr:nvSpPr>
              <xdr:cNvPr id="6146" name="Button 2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000-000002180000}"/>
                  </a:ext>
                </a:extLst>
              </xdr:cNvPr>
              <xdr:cNvSpPr/>
            </xdr:nvSpPr>
            <xdr:spPr bwMode="auto">
              <a:xfrm>
                <a:off x="436788" y="5060497"/>
                <a:ext cx="133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l-PL" sz="9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DALEJ</a:t>
                </a:r>
              </a:p>
            </xdr:txBody>
          </xdr:sp>
          <xdr:sp macro="" textlink="">
            <xdr:nvSpPr>
              <xdr:cNvPr id="6147" name="Button 3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000-000003180000}"/>
                  </a:ext>
                </a:extLst>
              </xdr:cNvPr>
              <xdr:cNvSpPr/>
            </xdr:nvSpPr>
            <xdr:spPr bwMode="auto">
              <a:xfrm>
                <a:off x="2075803" y="5060497"/>
                <a:ext cx="133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l-PL" sz="9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WSTECZ</a:t>
                </a:r>
              </a:p>
            </xdr:txBody>
          </xdr:sp>
          <xdr:sp macro="" textlink="">
            <xdr:nvSpPr>
              <xdr:cNvPr id="6148" name="Button 4" hidden="1">
                <a:extLst>
                  <a:ext uri="{63B3BB69-23CF-44E3-9099-C40C66FF867C}">
                    <a14:compatExt spid="_x0000_s6148"/>
                  </a:ext>
                  <a:ext uri="{FF2B5EF4-FFF2-40B4-BE49-F238E27FC236}">
                    <a16:creationId xmlns:a16="http://schemas.microsoft.com/office/drawing/2014/main" id="{00000000-0008-0000-0000-000004180000}"/>
                  </a:ext>
                </a:extLst>
              </xdr:cNvPr>
              <xdr:cNvSpPr/>
            </xdr:nvSpPr>
            <xdr:spPr bwMode="auto">
              <a:xfrm>
                <a:off x="5353833" y="5060497"/>
                <a:ext cx="133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l-PL" sz="9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6149" name="Button 5" hidden="1">
                <a:extLst>
                  <a:ext uri="{63B3BB69-23CF-44E3-9099-C40C66FF867C}">
                    <a14:compatExt spid="_x0000_s6149"/>
                  </a:ext>
                  <a:ext uri="{FF2B5EF4-FFF2-40B4-BE49-F238E27FC236}">
                    <a16:creationId xmlns:a16="http://schemas.microsoft.com/office/drawing/2014/main" id="{00000000-0008-0000-0000-000005180000}"/>
                  </a:ext>
                </a:extLst>
              </xdr:cNvPr>
              <xdr:cNvSpPr/>
            </xdr:nvSpPr>
            <xdr:spPr bwMode="auto">
              <a:xfrm>
                <a:off x="6992852" y="5060497"/>
                <a:ext cx="133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l-PL" sz="9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 (AUTO-ZAPIS)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16</xdr:col>
      <xdr:colOff>98508</xdr:colOff>
      <xdr:row>1</xdr:row>
      <xdr:rowOff>28576</xdr:rowOff>
    </xdr:from>
    <xdr:to>
      <xdr:col>19</xdr:col>
      <xdr:colOff>561974</xdr:colOff>
      <xdr:row>4</xdr:row>
      <xdr:rowOff>57150</xdr:rowOff>
    </xdr:to>
    <xdr:pic>
      <xdr:nvPicPr>
        <xdr:cNvPr id="3" name="Obraz 2" descr="Nikola Tesla. Największy wynalazca swoich czasów? - Geekweek w INTERIA.P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0758" y="66676"/>
          <a:ext cx="2873292" cy="1562099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32</xdr:row>
      <xdr:rowOff>47625</xdr:rowOff>
    </xdr:from>
    <xdr:to>
      <xdr:col>15</xdr:col>
      <xdr:colOff>874058</xdr:colOff>
      <xdr:row>49</xdr:row>
      <xdr:rowOff>185455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16</xdr:col>
      <xdr:colOff>72203</xdr:colOff>
      <xdr:row>14</xdr:row>
      <xdr:rowOff>9525</xdr:rowOff>
    </xdr:from>
    <xdr:to>
      <xdr:col>20</xdr:col>
      <xdr:colOff>190500</xdr:colOff>
      <xdr:row>22</xdr:row>
      <xdr:rowOff>84044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885825</xdr:colOff>
      <xdr:row>23</xdr:row>
      <xdr:rowOff>28575</xdr:rowOff>
    </xdr:from>
    <xdr:to>
      <xdr:col>20</xdr:col>
      <xdr:colOff>200025</xdr:colOff>
      <xdr:row>43</xdr:row>
      <xdr:rowOff>28575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43</xdr:row>
      <xdr:rowOff>66677</xdr:rowOff>
    </xdr:from>
    <xdr:to>
      <xdr:col>19</xdr:col>
      <xdr:colOff>561973</xdr:colOff>
      <xdr:row>50</xdr:row>
      <xdr:rowOff>76200</xdr:rowOff>
    </xdr:to>
    <xdr:grpSp>
      <xdr:nvGrpSpPr>
        <xdr:cNvPr id="7" name="Grupa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8006580" y="10232450"/>
          <a:ext cx="2921575" cy="1360341"/>
          <a:chOff x="18011777" y="9810752"/>
          <a:chExt cx="2809871" cy="1343023"/>
        </a:xfrm>
      </xdr:grpSpPr>
      <xdr:pic>
        <xdr:nvPicPr>
          <xdr:cNvPr id="8" name="Obraz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954752" y="9810752"/>
            <a:ext cx="971548" cy="97154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9" name="Grupa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/>
        </xdr:nvGrpSpPr>
        <xdr:grpSpPr>
          <a:xfrm>
            <a:off x="18011777" y="10172700"/>
            <a:ext cx="2809871" cy="981075"/>
            <a:chOff x="18011777" y="10172700"/>
            <a:chExt cx="2809871" cy="981075"/>
          </a:xfrm>
        </xdr:grpSpPr>
        <xdr:pic>
          <xdr:nvPicPr>
            <xdr:cNvPr id="10" name="Obraz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8011777" y="10182227"/>
              <a:ext cx="971548" cy="971548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1" name="Obraz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9850100" y="10172700"/>
              <a:ext cx="971548" cy="971548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oneCell">
    <xdr:from>
      <xdr:col>7</xdr:col>
      <xdr:colOff>214033</xdr:colOff>
      <xdr:row>19</xdr:row>
      <xdr:rowOff>55994</xdr:rowOff>
    </xdr:from>
    <xdr:to>
      <xdr:col>7</xdr:col>
      <xdr:colOff>1030941</xdr:colOff>
      <xdr:row>21</xdr:row>
      <xdr:rowOff>134506</xdr:rowOff>
    </xdr:to>
    <xdr:pic>
      <xdr:nvPicPr>
        <xdr:cNvPr id="20" name="Obraz 19" descr="Jak włączyć tryb ciemny w Thunderbird">
          <a:hlinkClick xmlns:r="http://schemas.openxmlformats.org/officeDocument/2006/relationships" r:id="rId6" tooltip="Mozilla Thunderbird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4121" y="5401200"/>
          <a:ext cx="816908" cy="4595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358028</xdr:colOff>
      <xdr:row>20</xdr:row>
      <xdr:rowOff>25177</xdr:rowOff>
    </xdr:from>
    <xdr:to>
      <xdr:col>15</xdr:col>
      <xdr:colOff>742389</xdr:colOff>
      <xdr:row>31</xdr:row>
      <xdr:rowOff>60296</xdr:rowOff>
    </xdr:to>
    <xdr:grpSp>
      <xdr:nvGrpSpPr>
        <xdr:cNvPr id="6144" name="Grupa 6143">
          <a:extLst>
            <a:ext uri="{FF2B5EF4-FFF2-40B4-BE49-F238E27FC236}">
              <a16:creationId xmlns:a16="http://schemas.microsoft.com/office/drawing/2014/main" id="{00000000-0008-0000-0000-000000180000}"/>
            </a:ext>
          </a:extLst>
        </xdr:cNvPr>
        <xdr:cNvGrpSpPr/>
      </xdr:nvGrpSpPr>
      <xdr:grpSpPr>
        <a:xfrm>
          <a:off x="16377346" y="5740177"/>
          <a:ext cx="1423452" cy="2147937"/>
          <a:chOff x="16382440" y="5616913"/>
          <a:chExt cx="1426508" cy="2130619"/>
        </a:xfrm>
      </xdr:grpSpPr>
      <xdr:grpSp>
        <xdr:nvGrpSpPr>
          <xdr:cNvPr id="55" name="Grupa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GrpSpPr/>
        </xdr:nvGrpSpPr>
        <xdr:grpSpPr>
          <a:xfrm>
            <a:off x="16404852" y="7094969"/>
            <a:ext cx="1404096" cy="652563"/>
            <a:chOff x="16595352" y="7094969"/>
            <a:chExt cx="1404096" cy="652563"/>
          </a:xfrm>
        </xdr:grpSpPr>
        <xdr:sp macro="" textlink="">
          <xdr:nvSpPr>
            <xdr:cNvPr id="22" name="Prostokąt: zaokrąglone rogi 21">
              <a:hlinkClick xmlns:r="http://schemas.openxmlformats.org/officeDocument/2006/relationships" r:id="rId8" tooltip="Wyślij wiadomość do administratora"/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/>
          </xdr:nvSpPr>
          <xdr:spPr>
            <a:xfrm>
              <a:off x="16595352" y="7094969"/>
              <a:ext cx="1404096" cy="652563"/>
            </a:xfrm>
            <a:prstGeom prst="roundRect">
              <a:avLst/>
            </a:prstGeom>
            <a:solidFill>
              <a:srgbClr val="FF0066"/>
            </a:solidFill>
            <a:ln w="31750">
              <a:solidFill>
                <a:schemeClr val="tx1"/>
              </a:solidFill>
            </a:ln>
            <a:scene3d>
              <a:camera prst="orthographicFront"/>
              <a:lightRig rig="twoPt" dir="t"/>
            </a:scene3d>
            <a:sp3d extrusionH="76200" prstMaterial="dkEdge">
              <a:bevelT w="165100" prst="coolSlant"/>
              <a:bevelB w="152400" h="50800" prst="softRound"/>
              <a:extrusionClr>
                <a:schemeClr val="bg1"/>
              </a:extrusionClr>
            </a:sp3d>
          </xdr:spPr>
          <xdr:style>
            <a:lnRef idx="0">
              <a:schemeClr val="accent4"/>
            </a:lnRef>
            <a:fillRef idx="3">
              <a:schemeClr val="accent4"/>
            </a:fillRef>
            <a:effectRef idx="3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pl-PL" sz="750" b="1" baseline="0">
                <a:solidFill>
                  <a:schemeClr val="bg1"/>
                </a:solidFill>
                <a:latin typeface="Bookman Old Style" panose="02050604050505020204" pitchFamily="18" charset="0"/>
              </a:endParaRPr>
            </a:p>
            <a:p>
              <a:pPr algn="ctr"/>
              <a:endParaRPr lang="pl-PL" sz="750" b="1">
                <a:solidFill>
                  <a:schemeClr val="bg1"/>
                </a:solidFill>
                <a:latin typeface="Bookman Old Style" panose="02050604050505020204" pitchFamily="18" charset="0"/>
              </a:endParaRPr>
            </a:p>
            <a:p>
              <a:pPr algn="ctr"/>
              <a:endParaRPr lang="pl-PL" sz="750" b="1">
                <a:solidFill>
                  <a:schemeClr val="bg1"/>
                </a:solidFill>
                <a:latin typeface="Bookman Old Style" panose="02050604050505020204" pitchFamily="18" charset="0"/>
              </a:endParaRPr>
            </a:p>
            <a:p>
              <a:pPr algn="ctr"/>
              <a:r>
                <a:rPr lang="pl-PL" sz="750" b="1" baseline="0">
                  <a:solidFill>
                    <a:schemeClr val="bg1"/>
                  </a:solidFill>
                  <a:latin typeface="Bookman Old Style" panose="02050604050505020204" pitchFamily="18" charset="0"/>
                </a:rPr>
                <a:t>WYŚLIJ E-MAIL</a:t>
              </a:r>
              <a:endParaRPr lang="pl-PL" sz="750" b="1">
                <a:solidFill>
                  <a:schemeClr val="bg1"/>
                </a:solidFill>
                <a:latin typeface="Bookman Old Style" panose="02050604050505020204" pitchFamily="18" charset="0"/>
              </a:endParaRPr>
            </a:p>
          </xdr:txBody>
        </xdr:sp>
        <xdr:sp macro="" textlink="">
          <xdr:nvSpPr>
            <xdr:cNvPr id="53" name="Grafika 27" descr="Wyślij">
              <a:hlinkClick xmlns:r="http://schemas.openxmlformats.org/officeDocument/2006/relationships" r:id="rId8" tooltip="Wyślij wiadomość do administratora"/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SpPr/>
          </xdr:nvSpPr>
          <xdr:spPr>
            <a:xfrm rot="1052522">
              <a:off x="17093191" y="7106728"/>
              <a:ext cx="339558" cy="369846"/>
            </a:xfrm>
            <a:custGeom>
              <a:avLst/>
              <a:gdLst>
                <a:gd name="connsiteX0" fmla="*/ 236583 w 285450"/>
                <a:gd name="connsiteY0" fmla="*/ 221986 h 263955"/>
                <a:gd name="connsiteX1" fmla="*/ 172449 w 285450"/>
                <a:gd name="connsiteY1" fmla="*/ 199890 h 263955"/>
                <a:gd name="connsiteX2" fmla="*/ 172092 w 285450"/>
                <a:gd name="connsiteY2" fmla="*/ 199890 h 263955"/>
                <a:gd name="connsiteX3" fmla="*/ 146439 w 285450"/>
                <a:gd name="connsiteY3" fmla="*/ 190981 h 263955"/>
                <a:gd name="connsiteX4" fmla="*/ 266512 w 285450"/>
                <a:gd name="connsiteY4" fmla="*/ 32390 h 263955"/>
                <a:gd name="connsiteX5" fmla="*/ 236583 w 285450"/>
                <a:gd name="connsiteY5" fmla="*/ 221986 h 263955"/>
                <a:gd name="connsiteX6" fmla="*/ 156415 w 285450"/>
                <a:gd name="connsiteY6" fmla="*/ 209869 h 263955"/>
                <a:gd name="connsiteX7" fmla="*/ 132900 w 285450"/>
                <a:gd name="connsiteY7" fmla="*/ 233390 h 263955"/>
                <a:gd name="connsiteX8" fmla="*/ 139313 w 285450"/>
                <a:gd name="connsiteY8" fmla="*/ 204167 h 263955"/>
                <a:gd name="connsiteX9" fmla="*/ 156415 w 285450"/>
                <a:gd name="connsiteY9" fmla="*/ 209869 h 263955"/>
                <a:gd name="connsiteX10" fmla="*/ 156415 w 285450"/>
                <a:gd name="connsiteY10" fmla="*/ 209869 h 263955"/>
                <a:gd name="connsiteX11" fmla="*/ 127911 w 285450"/>
                <a:gd name="connsiteY11" fmla="*/ 191693 h 263955"/>
                <a:gd name="connsiteX12" fmla="*/ 126486 w 285450"/>
                <a:gd name="connsiteY12" fmla="*/ 194544 h 263955"/>
                <a:gd name="connsiteX13" fmla="*/ 125417 w 285450"/>
                <a:gd name="connsiteY13" fmla="*/ 199177 h 263955"/>
                <a:gd name="connsiteX14" fmla="*/ 118291 w 285450"/>
                <a:gd name="connsiteY14" fmla="*/ 231608 h 263955"/>
                <a:gd name="connsiteX15" fmla="*/ 101189 w 285450"/>
                <a:gd name="connsiteY15" fmla="*/ 181715 h 263955"/>
                <a:gd name="connsiteX16" fmla="*/ 234445 w 285450"/>
                <a:gd name="connsiteY16" fmla="*/ 53417 h 263955"/>
                <a:gd name="connsiteX17" fmla="*/ 132187 w 285450"/>
                <a:gd name="connsiteY17" fmla="*/ 186348 h 263955"/>
                <a:gd name="connsiteX18" fmla="*/ 127911 w 285450"/>
                <a:gd name="connsiteY18" fmla="*/ 191693 h 263955"/>
                <a:gd name="connsiteX19" fmla="*/ 24941 w 285450"/>
                <a:gd name="connsiteY19" fmla="*/ 149640 h 263955"/>
                <a:gd name="connsiteX20" fmla="*/ 233732 w 285450"/>
                <a:gd name="connsiteY20" fmla="*/ 38449 h 263955"/>
                <a:gd name="connsiteX21" fmla="*/ 90856 w 285450"/>
                <a:gd name="connsiteY21" fmla="*/ 172092 h 263955"/>
                <a:gd name="connsiteX22" fmla="*/ 24941 w 285450"/>
                <a:gd name="connsiteY22" fmla="*/ 149640 h 263955"/>
                <a:gd name="connsiteX23" fmla="*/ 282189 w 285450"/>
                <a:gd name="connsiteY23" fmla="*/ 1385 h 263955"/>
                <a:gd name="connsiteX24" fmla="*/ 274350 w 285450"/>
                <a:gd name="connsiteY24" fmla="*/ 1028 h 263955"/>
                <a:gd name="connsiteX25" fmla="*/ 3919 w 285450"/>
                <a:gd name="connsiteY25" fmla="*/ 144651 h 263955"/>
                <a:gd name="connsiteX26" fmla="*/ 0 w 285450"/>
                <a:gd name="connsiteY26" fmla="*/ 151422 h 263955"/>
                <a:gd name="connsiteX27" fmla="*/ 4632 w 285450"/>
                <a:gd name="connsiteY27" fmla="*/ 157481 h 263955"/>
                <a:gd name="connsiteX28" fmla="*/ 78742 w 285450"/>
                <a:gd name="connsiteY28" fmla="*/ 182784 h 263955"/>
                <a:gd name="connsiteX29" fmla="*/ 88006 w 285450"/>
                <a:gd name="connsiteY29" fmla="*/ 185991 h 263955"/>
                <a:gd name="connsiteX30" fmla="*/ 90144 w 285450"/>
                <a:gd name="connsiteY30" fmla="*/ 192050 h 263955"/>
                <a:gd name="connsiteX31" fmla="*/ 112234 w 285450"/>
                <a:gd name="connsiteY31" fmla="*/ 258337 h 263955"/>
                <a:gd name="connsiteX32" fmla="*/ 112234 w 285450"/>
                <a:gd name="connsiteY32" fmla="*/ 258693 h 263955"/>
                <a:gd name="connsiteX33" fmla="*/ 112234 w 285450"/>
                <a:gd name="connsiteY33" fmla="*/ 259050 h 263955"/>
                <a:gd name="connsiteX34" fmla="*/ 117579 w 285450"/>
                <a:gd name="connsiteY34" fmla="*/ 263683 h 263955"/>
                <a:gd name="connsiteX35" fmla="*/ 124348 w 285450"/>
                <a:gd name="connsiteY35" fmla="*/ 261901 h 263955"/>
                <a:gd name="connsiteX36" fmla="*/ 124705 w 285450"/>
                <a:gd name="connsiteY36" fmla="*/ 261545 h 263955"/>
                <a:gd name="connsiteX37" fmla="*/ 126842 w 285450"/>
                <a:gd name="connsiteY37" fmla="*/ 259406 h 263955"/>
                <a:gd name="connsiteX38" fmla="*/ 171736 w 285450"/>
                <a:gd name="connsiteY38" fmla="*/ 215215 h 263955"/>
                <a:gd name="connsiteX39" fmla="*/ 240146 w 285450"/>
                <a:gd name="connsiteY39" fmla="*/ 238736 h 263955"/>
                <a:gd name="connsiteX40" fmla="*/ 246203 w 285450"/>
                <a:gd name="connsiteY40" fmla="*/ 238023 h 263955"/>
                <a:gd name="connsiteX41" fmla="*/ 249766 w 285450"/>
                <a:gd name="connsiteY41" fmla="*/ 233034 h 263955"/>
                <a:gd name="connsiteX42" fmla="*/ 285395 w 285450"/>
                <a:gd name="connsiteY42" fmla="*/ 8512 h 263955"/>
                <a:gd name="connsiteX43" fmla="*/ 282189 w 285450"/>
                <a:gd name="connsiteY43" fmla="*/ 1385 h 26395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</a:cxnLst>
              <a:rect l="l" t="t" r="r" b="b"/>
              <a:pathLst>
                <a:path w="285450" h="263955">
                  <a:moveTo>
                    <a:pt x="236583" y="221986"/>
                  </a:moveTo>
                  <a:lnTo>
                    <a:pt x="172449" y="199890"/>
                  </a:lnTo>
                  <a:lnTo>
                    <a:pt x="172092" y="199890"/>
                  </a:lnTo>
                  <a:lnTo>
                    <a:pt x="146439" y="190981"/>
                  </a:lnTo>
                  <a:lnTo>
                    <a:pt x="266512" y="32390"/>
                  </a:lnTo>
                  <a:lnTo>
                    <a:pt x="236583" y="221986"/>
                  </a:lnTo>
                  <a:close/>
                  <a:moveTo>
                    <a:pt x="156415" y="209869"/>
                  </a:moveTo>
                  <a:lnTo>
                    <a:pt x="132900" y="233390"/>
                  </a:lnTo>
                  <a:lnTo>
                    <a:pt x="139313" y="204167"/>
                  </a:lnTo>
                  <a:lnTo>
                    <a:pt x="156415" y="209869"/>
                  </a:lnTo>
                  <a:lnTo>
                    <a:pt x="156415" y="209869"/>
                  </a:lnTo>
                  <a:close/>
                  <a:moveTo>
                    <a:pt x="127911" y="191693"/>
                  </a:moveTo>
                  <a:cubicBezTo>
                    <a:pt x="127199" y="192406"/>
                    <a:pt x="126842" y="193475"/>
                    <a:pt x="126486" y="194544"/>
                  </a:cubicBezTo>
                  <a:lnTo>
                    <a:pt x="125417" y="199177"/>
                  </a:lnTo>
                  <a:lnTo>
                    <a:pt x="118291" y="231608"/>
                  </a:lnTo>
                  <a:lnTo>
                    <a:pt x="101189" y="181715"/>
                  </a:lnTo>
                  <a:lnTo>
                    <a:pt x="234445" y="53417"/>
                  </a:lnTo>
                  <a:lnTo>
                    <a:pt x="132187" y="186348"/>
                  </a:lnTo>
                  <a:lnTo>
                    <a:pt x="127911" y="191693"/>
                  </a:lnTo>
                  <a:close/>
                  <a:moveTo>
                    <a:pt x="24941" y="149640"/>
                  </a:moveTo>
                  <a:lnTo>
                    <a:pt x="233732" y="38449"/>
                  </a:lnTo>
                  <a:lnTo>
                    <a:pt x="90856" y="172092"/>
                  </a:lnTo>
                  <a:lnTo>
                    <a:pt x="24941" y="149640"/>
                  </a:lnTo>
                  <a:close/>
                  <a:moveTo>
                    <a:pt x="282189" y="1385"/>
                  </a:moveTo>
                  <a:cubicBezTo>
                    <a:pt x="280051" y="-397"/>
                    <a:pt x="276844" y="-397"/>
                    <a:pt x="274350" y="1028"/>
                  </a:cubicBezTo>
                  <a:lnTo>
                    <a:pt x="3919" y="144651"/>
                  </a:lnTo>
                  <a:cubicBezTo>
                    <a:pt x="1425" y="146076"/>
                    <a:pt x="0" y="148571"/>
                    <a:pt x="0" y="151422"/>
                  </a:cubicBezTo>
                  <a:cubicBezTo>
                    <a:pt x="0" y="154273"/>
                    <a:pt x="2138" y="156768"/>
                    <a:pt x="4632" y="157481"/>
                  </a:cubicBezTo>
                  <a:lnTo>
                    <a:pt x="78742" y="182784"/>
                  </a:lnTo>
                  <a:lnTo>
                    <a:pt x="88006" y="185991"/>
                  </a:lnTo>
                  <a:lnTo>
                    <a:pt x="90144" y="192050"/>
                  </a:lnTo>
                  <a:lnTo>
                    <a:pt x="112234" y="258337"/>
                  </a:lnTo>
                  <a:lnTo>
                    <a:pt x="112234" y="258693"/>
                  </a:lnTo>
                  <a:lnTo>
                    <a:pt x="112234" y="259050"/>
                  </a:lnTo>
                  <a:cubicBezTo>
                    <a:pt x="112947" y="261188"/>
                    <a:pt x="115085" y="262970"/>
                    <a:pt x="117579" y="263683"/>
                  </a:cubicBezTo>
                  <a:cubicBezTo>
                    <a:pt x="120073" y="264396"/>
                    <a:pt x="122567" y="263683"/>
                    <a:pt x="124348" y="261901"/>
                  </a:cubicBezTo>
                  <a:lnTo>
                    <a:pt x="124705" y="261545"/>
                  </a:lnTo>
                  <a:lnTo>
                    <a:pt x="126842" y="259406"/>
                  </a:lnTo>
                  <a:lnTo>
                    <a:pt x="171736" y="215215"/>
                  </a:lnTo>
                  <a:lnTo>
                    <a:pt x="240146" y="238736"/>
                  </a:lnTo>
                  <a:cubicBezTo>
                    <a:pt x="242283" y="239449"/>
                    <a:pt x="244421" y="239092"/>
                    <a:pt x="246203" y="238023"/>
                  </a:cubicBezTo>
                  <a:cubicBezTo>
                    <a:pt x="247984" y="236954"/>
                    <a:pt x="249409" y="235172"/>
                    <a:pt x="249766" y="233034"/>
                  </a:cubicBezTo>
                  <a:lnTo>
                    <a:pt x="285395" y="8512"/>
                  </a:lnTo>
                  <a:cubicBezTo>
                    <a:pt x="285752" y="5305"/>
                    <a:pt x="284327" y="2810"/>
                    <a:pt x="282189" y="1385"/>
                  </a:cubicBezTo>
                  <a:close/>
                </a:path>
              </a:pathLst>
            </a:custGeom>
            <a:solidFill>
              <a:schemeClr val="bg1"/>
            </a:solidFill>
            <a:ln w="3473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40" name="Grupa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pSpPr/>
        </xdr:nvGrpSpPr>
        <xdr:grpSpPr>
          <a:xfrm>
            <a:off x="16404852" y="6361544"/>
            <a:ext cx="1404096" cy="652563"/>
            <a:chOff x="16595352" y="6361544"/>
            <a:chExt cx="1404096" cy="652563"/>
          </a:xfrm>
        </xdr:grpSpPr>
        <xdr:sp macro="" textlink="">
          <xdr:nvSpPr>
            <xdr:cNvPr id="33" name="Prostokąt: zaokrąglone rogi 32">
              <a:hlinkClick xmlns:r="http://schemas.openxmlformats.org/officeDocument/2006/relationships" r:id="rId9" tooltip="Facebook"/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16595352" y="6361544"/>
              <a:ext cx="1404096" cy="652563"/>
            </a:xfrm>
            <a:prstGeom prst="roundRect">
              <a:avLst/>
            </a:prstGeom>
            <a:solidFill>
              <a:schemeClr val="bg2"/>
            </a:solidFill>
            <a:ln w="31750">
              <a:solidFill>
                <a:schemeClr val="tx1"/>
              </a:solidFill>
            </a:ln>
            <a:scene3d>
              <a:camera prst="orthographicFront"/>
              <a:lightRig rig="twoPt" dir="t"/>
            </a:scene3d>
            <a:sp3d extrusionH="76200" prstMaterial="dkEdge">
              <a:bevelT w="165100" prst="coolSlant"/>
              <a:bevelB w="152400" h="50800" prst="softRound"/>
              <a:extrusionClr>
                <a:schemeClr val="bg1"/>
              </a:extrusionClr>
            </a:sp3d>
          </xdr:spPr>
          <xdr:style>
            <a:lnRef idx="0">
              <a:schemeClr val="accent4"/>
            </a:lnRef>
            <a:fillRef idx="3">
              <a:schemeClr val="accent4"/>
            </a:fillRef>
            <a:effectRef idx="3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pl-PL" sz="800" b="1" baseline="0">
                <a:solidFill>
                  <a:sysClr val="windowText" lastClr="000000"/>
                </a:solidFill>
                <a:latin typeface="Bookman Old Style" panose="02050604050505020204" pitchFamily="18" charset="0"/>
              </a:endParaRPr>
            </a:p>
            <a:p>
              <a:pPr algn="ctr"/>
              <a:endParaRPr lang="pl-PL" sz="800" b="1">
                <a:solidFill>
                  <a:sysClr val="windowText" lastClr="000000"/>
                </a:solidFill>
                <a:latin typeface="Bookman Old Style" panose="02050604050505020204" pitchFamily="18" charset="0"/>
              </a:endParaRPr>
            </a:p>
            <a:p>
              <a:pPr algn="ctr"/>
              <a:endParaRPr lang="pl-PL" sz="800" b="1">
                <a:solidFill>
                  <a:sysClr val="windowText" lastClr="000000"/>
                </a:solidFill>
                <a:latin typeface="Bookman Old Style" panose="02050604050505020204" pitchFamily="18" charset="0"/>
              </a:endParaRPr>
            </a:p>
            <a:p>
              <a:pPr algn="ctr"/>
              <a:r>
                <a:rPr lang="pl-PL" sz="800" b="1">
                  <a:solidFill>
                    <a:srgbClr val="0070C0"/>
                  </a:solidFill>
                  <a:latin typeface="Bookman Old Style" panose="02050604050505020204" pitchFamily="18" charset="0"/>
                </a:rPr>
                <a:t>PROFIL FACEBOOK</a:t>
              </a:r>
            </a:p>
          </xdr:txBody>
        </xdr:sp>
        <xdr:pic>
          <xdr:nvPicPr>
            <xdr:cNvPr id="36" name="Grafika 35" descr="Uniesiony kciuk">
              <a:hlinkClick xmlns:r="http://schemas.openxmlformats.org/officeDocument/2006/relationships" r:id="rId9" tooltip="Facebook"/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7096814" y="6421531"/>
              <a:ext cx="403972" cy="400050"/>
            </a:xfrm>
            <a:prstGeom prst="rect">
              <a:avLst/>
            </a:prstGeom>
          </xdr:spPr>
        </xdr:pic>
      </xdr:grpSp>
      <xdr:grpSp>
        <xdr:nvGrpSpPr>
          <xdr:cNvPr id="57" name="Grupa 56">
            <a:hlinkClick xmlns:r="http://schemas.openxmlformats.org/officeDocument/2006/relationships" r:id="rId12" tooltip="https://www.energetyka-polska.pl"/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GrpSpPr/>
        </xdr:nvGrpSpPr>
        <xdr:grpSpPr>
          <a:xfrm>
            <a:off x="16382440" y="5616913"/>
            <a:ext cx="1404096" cy="652563"/>
            <a:chOff x="16572940" y="5616913"/>
            <a:chExt cx="1404096" cy="652563"/>
          </a:xfrm>
        </xdr:grpSpPr>
        <xdr:sp macro="" textlink="">
          <xdr:nvSpPr>
            <xdr:cNvPr id="37" name="Prostokąt: zaokrąglone rogi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/>
          </xdr:nvSpPr>
          <xdr:spPr>
            <a:xfrm>
              <a:off x="16572940" y="5616913"/>
              <a:ext cx="1404096" cy="652563"/>
            </a:xfrm>
            <a:prstGeom prst="roundRect">
              <a:avLst/>
            </a:prstGeom>
            <a:solidFill>
              <a:srgbClr val="FFC000"/>
            </a:solidFill>
            <a:ln w="31750">
              <a:solidFill>
                <a:sysClr val="windowText" lastClr="000000"/>
              </a:solidFill>
            </a:ln>
            <a:scene3d>
              <a:camera prst="orthographicFront"/>
              <a:lightRig rig="twoPt" dir="t"/>
            </a:scene3d>
            <a:sp3d extrusionH="76200" prstMaterial="dkEdge">
              <a:bevelT w="165100" prst="coolSlant"/>
              <a:bevelB w="152400" h="50800" prst="softRound"/>
              <a:extrusionClr>
                <a:schemeClr val="bg1"/>
              </a:extrusionClr>
            </a:sp3d>
          </xdr:spPr>
          <xdr:style>
            <a:lnRef idx="0">
              <a:schemeClr val="accent4"/>
            </a:lnRef>
            <a:fillRef idx="3">
              <a:schemeClr val="accent4"/>
            </a:fillRef>
            <a:effectRef idx="3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pl-PL" sz="800" b="1">
                <a:solidFill>
                  <a:sysClr val="windowText" lastClr="000000"/>
                </a:solidFill>
                <a:latin typeface="Bookman Old Style" panose="02050604050505020204" pitchFamily="18" charset="0"/>
              </a:endParaRPr>
            </a:p>
            <a:p>
              <a:pPr algn="ctr"/>
              <a:endParaRPr lang="pl-PL" sz="800" b="1">
                <a:solidFill>
                  <a:sysClr val="windowText" lastClr="000000"/>
                </a:solidFill>
                <a:latin typeface="Bookman Old Style" panose="02050604050505020204" pitchFamily="18" charset="0"/>
              </a:endParaRPr>
            </a:p>
            <a:p>
              <a:pPr algn="ctr"/>
              <a:br>
                <a:rPr lang="pl-PL" sz="800" b="1">
                  <a:solidFill>
                    <a:sysClr val="windowText" lastClr="000000"/>
                  </a:solidFill>
                  <a:latin typeface="Bookman Old Style" panose="02050604050505020204" pitchFamily="18" charset="0"/>
                </a:rPr>
              </a:br>
              <a:r>
                <a:rPr lang="pl-PL" sz="750" b="1">
                  <a:solidFill>
                    <a:sysClr val="windowText" lastClr="000000"/>
                  </a:solidFill>
                  <a:latin typeface="Bookman Old Style" panose="02050604050505020204" pitchFamily="18" charset="0"/>
                </a:rPr>
                <a:t>POLSKA ENERGETYKA</a:t>
              </a:r>
            </a:p>
          </xdr:txBody>
        </xdr:sp>
        <xdr:pic>
          <xdr:nvPicPr>
            <xdr:cNvPr id="39" name="Grafika 38" descr="Wysokie napięcie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7095695" y="5665695"/>
              <a:ext cx="385482" cy="385482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10</xdr:col>
      <xdr:colOff>1030938</xdr:colOff>
      <xdr:row>14</xdr:row>
      <xdr:rowOff>168649</xdr:rowOff>
    </xdr:from>
    <xdr:to>
      <xdr:col>15</xdr:col>
      <xdr:colOff>165283</xdr:colOff>
      <xdr:row>32</xdr:row>
      <xdr:rowOff>21301</xdr:rowOff>
    </xdr:to>
    <xdr:grpSp>
      <xdr:nvGrpSpPr>
        <xdr:cNvPr id="63" name="Grupa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pSpPr/>
      </xdr:nvGrpSpPr>
      <xdr:grpSpPr>
        <a:xfrm>
          <a:off x="13188302" y="4307694"/>
          <a:ext cx="4035390" cy="3749243"/>
          <a:chOff x="13581530" y="4169149"/>
          <a:chExt cx="4042522" cy="3651446"/>
        </a:xfrm>
      </xdr:grpSpPr>
      <xdr:pic>
        <xdr:nvPicPr>
          <xdr:cNvPr id="12" name="Obraz 11" descr="Tombkick #1 Royalty Free Photos, Pictures, Images and Stock Photography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581530" y="5474821"/>
            <a:ext cx="2588559" cy="2345774"/>
          </a:xfrm>
          <a:prstGeom prst="ellipse">
            <a:avLst/>
          </a:prstGeom>
          <a:ln>
            <a:noFill/>
          </a:ln>
          <a:effectLst>
            <a:softEdge rad="11250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3" name="Dymek myśli: chmurka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4560530" y="4169149"/>
            <a:ext cx="3063522" cy="1427404"/>
          </a:xfrm>
          <a:prstGeom prst="cloudCallout">
            <a:avLst/>
          </a:prstGeom>
          <a:solidFill>
            <a:srgbClr val="CCECFF"/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800" b="1" i="0" u="none" strike="noStrike">
                <a:solidFill>
                  <a:schemeClr val="tx1"/>
                </a:solidFill>
                <a:effectLst/>
                <a:latin typeface="Bookman Old Style" panose="02050604050505020204" pitchFamily="18" charset="0"/>
                <a:ea typeface="+mn-ea"/>
                <a:cs typeface="+mn-cs"/>
              </a:rPr>
              <a:t>Witaj śmiertelniku! </a:t>
            </a:r>
            <a:r>
              <a:rPr lang="pl-PL" sz="800" u="none">
                <a:solidFill>
                  <a:schemeClr val="tx1"/>
                </a:solidFill>
                <a:latin typeface="Bookman Old Style" panose="02050604050505020204" pitchFamily="18" charset="0"/>
              </a:rPr>
              <a:t> </a:t>
            </a:r>
            <a:br>
              <a:rPr lang="pl-PL" sz="800">
                <a:solidFill>
                  <a:schemeClr val="tx1"/>
                </a:solidFill>
                <a:latin typeface="Bookman Old Style" panose="02050604050505020204" pitchFamily="18" charset="0"/>
              </a:rPr>
            </a:br>
            <a:r>
              <a:rPr lang="pl-PL" sz="800">
                <a:solidFill>
                  <a:schemeClr val="tx1"/>
                </a:solidFill>
                <a:latin typeface="Bookman Old Style" panose="02050604050505020204" pitchFamily="18" charset="0"/>
              </a:rPr>
              <a:t>- </a:t>
            </a:r>
            <a:r>
              <a:rPr lang="pl-PL" sz="800" b="1" i="0" u="none" strike="noStrike">
                <a:solidFill>
                  <a:schemeClr val="tx1"/>
                </a:solidFill>
                <a:effectLst/>
                <a:latin typeface="Bookman Old Style" panose="02050604050505020204" pitchFamily="18" charset="0"/>
                <a:ea typeface="+mn-ea"/>
                <a:cs typeface="+mn-cs"/>
              </a:rPr>
              <a:t>Nazywam się Zeus, jestem władcą nieba i ziemi, ojcem bogów i ludzi. Moim boskim atrybutem jest moc władania potężnymi błyskawicami.  </a:t>
            </a:r>
            <a:r>
              <a:rPr lang="pl-PL" sz="800">
                <a:solidFill>
                  <a:schemeClr val="tx1"/>
                </a:solidFill>
                <a:latin typeface="Bookman Old Style" panose="02050604050505020204" pitchFamily="18" charset="0"/>
              </a:rPr>
              <a:t> </a:t>
            </a:r>
            <a:br>
              <a:rPr lang="pl-PL" sz="800">
                <a:solidFill>
                  <a:schemeClr val="tx1"/>
                </a:solidFill>
                <a:latin typeface="Bookman Old Style" panose="02050604050505020204" pitchFamily="18" charset="0"/>
              </a:rPr>
            </a:br>
            <a:r>
              <a:rPr lang="pl-PL" sz="800">
                <a:solidFill>
                  <a:schemeClr val="tx1"/>
                </a:solidFill>
                <a:latin typeface="Bookman Old Style" panose="02050604050505020204" pitchFamily="18" charset="0"/>
              </a:rPr>
              <a:t>- </a:t>
            </a:r>
            <a:r>
              <a:rPr lang="pl-PL" sz="800" b="1" i="0" u="none" strike="noStrike">
                <a:solidFill>
                  <a:schemeClr val="tx1"/>
                </a:solidFill>
                <a:effectLst/>
                <a:latin typeface="Bookman Old Style" panose="02050604050505020204" pitchFamily="18" charset="0"/>
                <a:ea typeface="+mn-ea"/>
                <a:cs typeface="+mn-cs"/>
              </a:rPr>
              <a:t>Czy potrzebujesz mojej pomocy?</a:t>
            </a:r>
            <a:r>
              <a:rPr lang="pl-PL" sz="800">
                <a:solidFill>
                  <a:schemeClr val="tx1"/>
                </a:solidFill>
                <a:latin typeface="Bookman Old Style" panose="02050604050505020204" pitchFamily="18" charset="0"/>
              </a:rPr>
              <a:t> </a:t>
            </a:r>
          </a:p>
        </xdr:txBody>
      </xdr:sp>
    </xdr:grpSp>
    <xdr:clientData/>
  </xdr:twoCellAnchor>
  <xdr:twoCellAnchor editAs="oneCell">
    <xdr:from>
      <xdr:col>4</xdr:col>
      <xdr:colOff>57150</xdr:colOff>
      <xdr:row>51</xdr:row>
      <xdr:rowOff>38100</xdr:rowOff>
    </xdr:from>
    <xdr:to>
      <xdr:col>5</xdr:col>
      <xdr:colOff>1247775</xdr:colOff>
      <xdr:row>53</xdr:row>
      <xdr:rowOff>161925</xdr:rowOff>
    </xdr:to>
    <xdr:pic>
      <xdr:nvPicPr>
        <xdr:cNvPr id="14" name="Obraz 13" descr="Zwyczajne Walne Zgromadzenie PGE Polskiej Grupy Energetycznej">
          <a:hlinkClick xmlns:r="http://schemas.openxmlformats.org/officeDocument/2006/relationships" r:id="rId16" tooltip="PGE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19625" y="11677650"/>
          <a:ext cx="269557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20052</xdr:colOff>
      <xdr:row>51</xdr:row>
      <xdr:rowOff>20052</xdr:rowOff>
    </xdr:from>
    <xdr:to>
      <xdr:col>8</xdr:col>
      <xdr:colOff>1037724</xdr:colOff>
      <xdr:row>53</xdr:row>
      <xdr:rowOff>180474</xdr:rowOff>
    </xdr:to>
    <xdr:pic>
      <xdr:nvPicPr>
        <xdr:cNvPr id="15" name="Obraz 14" descr="Tauron - Forum GliwiceForum Gliwice">
          <a:hlinkClick xmlns:r="http://schemas.openxmlformats.org/officeDocument/2006/relationships" r:id="rId18" tooltip="Tauron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2877" y="11659602"/>
          <a:ext cx="3503697" cy="541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304800</xdr:colOff>
      <xdr:row>51</xdr:row>
      <xdr:rowOff>47626</xdr:rowOff>
    </xdr:from>
    <xdr:to>
      <xdr:col>11</xdr:col>
      <xdr:colOff>228600</xdr:colOff>
      <xdr:row>53</xdr:row>
      <xdr:rowOff>161926</xdr:rowOff>
    </xdr:to>
    <xdr:pic>
      <xdr:nvPicPr>
        <xdr:cNvPr id="18" name="Obraz 17" descr="Energa Grupa ORLEN - Forum Odpowiedzialnego Biznesu">
          <a:hlinkClick xmlns:r="http://schemas.openxmlformats.org/officeDocument/2006/relationships" r:id="rId20" tooltip="Energa Grupa Orlen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01400" y="11687176"/>
          <a:ext cx="2200275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38100</xdr:colOff>
      <xdr:row>51</xdr:row>
      <xdr:rowOff>47624</xdr:rowOff>
    </xdr:from>
    <xdr:to>
      <xdr:col>14</xdr:col>
      <xdr:colOff>1009650</xdr:colOff>
      <xdr:row>53</xdr:row>
      <xdr:rowOff>161925</xdr:rowOff>
    </xdr:to>
    <xdr:pic>
      <xdr:nvPicPr>
        <xdr:cNvPr id="32" name="Obraz 31">
          <a:hlinkClick xmlns:r="http://schemas.openxmlformats.org/officeDocument/2006/relationships" r:id="rId22" tooltip="Orange Energia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11687174"/>
          <a:ext cx="3124200" cy="4953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11</xdr:row>
          <xdr:rowOff>188550</xdr:rowOff>
        </xdr:from>
        <xdr:to>
          <xdr:col>6</xdr:col>
          <xdr:colOff>666750</xdr:colOff>
          <xdr:row>14</xdr:row>
          <xdr:rowOff>0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419100" y="2817450"/>
              <a:ext cx="7038975" cy="487725"/>
              <a:chOff x="200024" y="5381625"/>
              <a:chExt cx="10874219" cy="360000"/>
            </a:xfrm>
          </xdr:grpSpPr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100-000004080000}"/>
                  </a:ext>
                </a:extLst>
              </xdr:cNvPr>
              <xdr:cNvSpPr/>
            </xdr:nvSpPr>
            <xdr:spPr bwMode="auto">
              <a:xfrm>
                <a:off x="4827133" y="5381625"/>
                <a:ext cx="1620000" cy="36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l-PL" sz="9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 WSZYSTKO Z TABELI</a:t>
                </a:r>
              </a:p>
            </xdr:txBody>
          </xdr:sp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100-000005080000}"/>
                  </a:ext>
                </a:extLst>
              </xdr:cNvPr>
              <xdr:cNvSpPr/>
            </xdr:nvSpPr>
            <xdr:spPr bwMode="auto">
              <a:xfrm>
                <a:off x="200024" y="5381625"/>
                <a:ext cx="1620000" cy="36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l-PL" sz="9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DALEJ</a:t>
                </a:r>
              </a:p>
            </xdr:txBody>
          </xdr:sp>
          <xdr:sp macro="" textlink="">
            <xdr:nvSpPr>
              <xdr:cNvPr id="2054" name="Button 6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100-000006080000}"/>
                  </a:ext>
                </a:extLst>
              </xdr:cNvPr>
              <xdr:cNvSpPr/>
            </xdr:nvSpPr>
            <xdr:spPr bwMode="auto">
              <a:xfrm>
                <a:off x="2513579" y="5381625"/>
                <a:ext cx="1620000" cy="36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l-PL" sz="9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WSTECZ</a:t>
                </a:r>
              </a:p>
            </xdr:txBody>
          </xdr:sp>
          <xdr:sp macro="" textlink="">
            <xdr:nvSpPr>
              <xdr:cNvPr id="2055" name="Button 7" hidden="1">
                <a:extLst>
                  <a:ext uri="{63B3BB69-23CF-44E3-9099-C40C66FF867C}">
                    <a14:compatExt spid="_x0000_s2055"/>
                  </a:ext>
                  <a:ext uri="{FF2B5EF4-FFF2-40B4-BE49-F238E27FC236}">
                    <a16:creationId xmlns:a16="http://schemas.microsoft.com/office/drawing/2014/main" id="{00000000-0008-0000-0100-000007080000}"/>
                  </a:ext>
                </a:extLst>
              </xdr:cNvPr>
              <xdr:cNvSpPr/>
            </xdr:nvSpPr>
            <xdr:spPr bwMode="auto">
              <a:xfrm>
                <a:off x="7140688" y="5381625"/>
                <a:ext cx="1620000" cy="36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l-PL" sz="9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2056" name="Button 8" hidden="1">
                <a:extLst>
                  <a:ext uri="{63B3BB69-23CF-44E3-9099-C40C66FF867C}">
                    <a14:compatExt spid="_x0000_s2056"/>
                  </a:ext>
                  <a:ext uri="{FF2B5EF4-FFF2-40B4-BE49-F238E27FC236}">
                    <a16:creationId xmlns:a16="http://schemas.microsoft.com/office/drawing/2014/main" id="{00000000-0008-0000-0100-000008080000}"/>
                  </a:ext>
                </a:extLst>
              </xdr:cNvPr>
              <xdr:cNvSpPr/>
            </xdr:nvSpPr>
            <xdr:spPr bwMode="auto">
              <a:xfrm>
                <a:off x="9454243" y="5381625"/>
                <a:ext cx="1620000" cy="36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l-PL" sz="9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                                        (AUTO-ZAPIS)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10</xdr:row>
          <xdr:rowOff>66675</xdr:rowOff>
        </xdr:from>
        <xdr:to>
          <xdr:col>10</xdr:col>
          <xdr:colOff>1171575</xdr:colOff>
          <xdr:row>12</xdr:row>
          <xdr:rowOff>7575</xdr:rowOff>
        </xdr:to>
        <xdr:grpSp>
          <xdr:nvGrpSpPr>
            <xdr:cNvPr id="4" name="Grupa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pSpPr/>
          </xdr:nvGrpSpPr>
          <xdr:grpSpPr>
            <a:xfrm>
              <a:off x="9553575" y="2486025"/>
              <a:ext cx="2324100" cy="360000"/>
              <a:chOff x="8867773" y="2381250"/>
              <a:chExt cx="1226851" cy="360000"/>
            </a:xfrm>
          </xdr:grpSpPr>
          <xdr:sp macro="" textlink="">
            <xdr:nvSpPr>
              <xdr:cNvPr id="2057" name="Button 9" hidden="1">
                <a:extLst>
                  <a:ext uri="{63B3BB69-23CF-44E3-9099-C40C66FF867C}">
                    <a14:compatExt spid="_x0000_s2057"/>
                  </a:ext>
                  <a:ext uri="{FF2B5EF4-FFF2-40B4-BE49-F238E27FC236}">
                    <a16:creationId xmlns:a16="http://schemas.microsoft.com/office/drawing/2014/main" id="{00000000-0008-0000-0100-000009080000}"/>
                  </a:ext>
                </a:extLst>
              </xdr:cNvPr>
              <xdr:cNvSpPr/>
            </xdr:nvSpPr>
            <xdr:spPr bwMode="auto">
              <a:xfrm>
                <a:off x="8867773" y="2381250"/>
                <a:ext cx="522000" cy="36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l-PL" sz="9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DODAJ </a:t>
                </a:r>
              </a:p>
              <a:p>
                <a:pPr algn="ctr" rtl="0">
                  <a:defRPr sz="1000"/>
                </a:pPr>
                <a:r>
                  <a:rPr lang="pl-PL" sz="9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DO TABELI</a:t>
                </a:r>
              </a:p>
            </xdr:txBody>
          </xdr:sp>
          <xdr:sp macro="" textlink="">
            <xdr:nvSpPr>
              <xdr:cNvPr id="2058" name="Button 10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100-00000A080000}"/>
                  </a:ext>
                </a:extLst>
              </xdr:cNvPr>
              <xdr:cNvSpPr/>
            </xdr:nvSpPr>
            <xdr:spPr bwMode="auto">
              <a:xfrm>
                <a:off x="9572624" y="2381250"/>
                <a:ext cx="522000" cy="36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l-PL" sz="9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15</xdr:col>
      <xdr:colOff>57150</xdr:colOff>
      <xdr:row>20</xdr:row>
      <xdr:rowOff>0</xdr:rowOff>
    </xdr:from>
    <xdr:to>
      <xdr:col>20</xdr:col>
      <xdr:colOff>1800225</xdr:colOff>
      <xdr:row>25</xdr:row>
      <xdr:rowOff>142875</xdr:rowOff>
    </xdr:to>
    <xdr:pic>
      <xdr:nvPicPr>
        <xdr:cNvPr id="3" name="Obraz 2" descr="Już 6 tys. wniosków w programie „Moja Woda” - Ministerstwo Klimatu i  Środowiska - Portal Gov.pl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78100" y="4486275"/>
          <a:ext cx="6029325" cy="11049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14</xdr:row>
          <xdr:rowOff>142875</xdr:rowOff>
        </xdr:from>
        <xdr:to>
          <xdr:col>13</xdr:col>
          <xdr:colOff>161925</xdr:colOff>
          <xdr:row>15</xdr:row>
          <xdr:rowOff>190500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14</xdr:row>
          <xdr:rowOff>142875</xdr:rowOff>
        </xdr:from>
        <xdr:to>
          <xdr:col>14</xdr:col>
          <xdr:colOff>333375</xdr:colOff>
          <xdr:row>15</xdr:row>
          <xdr:rowOff>190500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WYCZYŚĆ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1343026</xdr:colOff>
      <xdr:row>0</xdr:row>
      <xdr:rowOff>0</xdr:rowOff>
    </xdr:from>
    <xdr:to>
      <xdr:col>20</xdr:col>
      <xdr:colOff>723900</xdr:colOff>
      <xdr:row>13</xdr:row>
      <xdr:rowOff>209550</xdr:rowOff>
    </xdr:to>
    <xdr:pic>
      <xdr:nvPicPr>
        <xdr:cNvPr id="5" name="Obraz 4" descr="Obrazy (Posejdon) — zdjęcia, wektory i wideo bez tantiem (19,928) | Adobe  Stock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63976" y="0"/>
          <a:ext cx="3667124" cy="3257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14</xdr:row>
      <xdr:rowOff>95250</xdr:rowOff>
    </xdr:from>
    <xdr:to>
      <xdr:col>6</xdr:col>
      <xdr:colOff>1104900</xdr:colOff>
      <xdr:row>25</xdr:row>
      <xdr:rowOff>123825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9</xdr:row>
          <xdr:rowOff>180975</xdr:rowOff>
        </xdr:from>
        <xdr:to>
          <xdr:col>1</xdr:col>
          <xdr:colOff>257175</xdr:colOff>
          <xdr:row>12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DALEJ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9</xdr:row>
          <xdr:rowOff>180975</xdr:rowOff>
        </xdr:from>
        <xdr:to>
          <xdr:col>2</xdr:col>
          <xdr:colOff>428625</xdr:colOff>
          <xdr:row>12</xdr:row>
          <xdr:rowOff>9525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WSTECZ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800100</xdr:colOff>
          <xdr:row>9</xdr:row>
          <xdr:rowOff>180975</xdr:rowOff>
        </xdr:from>
        <xdr:to>
          <xdr:col>3</xdr:col>
          <xdr:colOff>609600</xdr:colOff>
          <xdr:row>12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USUŃ DANE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9</xdr:row>
          <xdr:rowOff>180975</xdr:rowOff>
        </xdr:from>
        <xdr:to>
          <xdr:col>4</xdr:col>
          <xdr:colOff>790575</xdr:colOff>
          <xdr:row>12</xdr:row>
          <xdr:rowOff>9525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 DANE DO PODSUMOWANIA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9</xdr:row>
          <xdr:rowOff>180975</xdr:rowOff>
        </xdr:from>
        <xdr:to>
          <xdr:col>5</xdr:col>
          <xdr:colOff>962025</xdr:colOff>
          <xdr:row>12</xdr:row>
          <xdr:rowOff>9525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ZAPISZ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180975</xdr:rowOff>
        </xdr:from>
        <xdr:to>
          <xdr:col>7</xdr:col>
          <xdr:colOff>533400</xdr:colOff>
          <xdr:row>12</xdr:row>
          <xdr:rowOff>9525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WYJDŹ                      (AUTO-ZAPIS)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1038224</xdr:colOff>
      <xdr:row>0</xdr:row>
      <xdr:rowOff>0</xdr:rowOff>
    </xdr:from>
    <xdr:to>
      <xdr:col>9</xdr:col>
      <xdr:colOff>1485899</xdr:colOff>
      <xdr:row>7</xdr:row>
      <xdr:rowOff>57542</xdr:rowOff>
    </xdr:to>
    <xdr:pic>
      <xdr:nvPicPr>
        <xdr:cNvPr id="2" name="Obraz 1" descr="Czym są paliwa gazowe: LPG, CNG i LNG? | Blo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76974" y="0"/>
          <a:ext cx="3762375" cy="2172092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persons/person11.xml><?xml version="1.0" encoding="utf-8"?>
<personList xmlns="http://schemas.microsoft.com/office/spreadsheetml/2018/threadedcomments" xmlns:x="http://schemas.openxmlformats.org/spreadsheetml/2006/main"/>
</file>

<file path=xl/persons/person12.xml><?xml version="1.0" encoding="utf-8"?>
<personList xmlns="http://schemas.microsoft.com/office/spreadsheetml/2018/threadedcomments" xmlns:x="http://schemas.openxmlformats.org/spreadsheetml/2006/main"/>
</file>

<file path=xl/persons/person13.xml><?xml version="1.0" encoding="utf-8"?>
<personList xmlns="http://schemas.microsoft.com/office/spreadsheetml/2018/threadedcomments" xmlns:x="http://schemas.openxmlformats.org/spreadsheetml/2006/main"/>
</file>

<file path=xl/persons/person14.xml><?xml version="1.0" encoding="utf-8"?>
<personList xmlns="http://schemas.microsoft.com/office/spreadsheetml/2018/threadedcomments" xmlns:x="http://schemas.openxmlformats.org/spreadsheetml/2006/main"/>
</file>

<file path=xl/persons/person15.xml><?xml version="1.0" encoding="utf-8"?>
<personList xmlns="http://schemas.microsoft.com/office/spreadsheetml/2018/threadedcomments" xmlns:x="http://schemas.openxmlformats.org/spreadsheetml/2006/main"/>
</file>

<file path=xl/persons/person16.xml><?xml version="1.0" encoding="utf-8"?>
<personList xmlns="http://schemas.microsoft.com/office/spreadsheetml/2018/threadedcomments" xmlns:x="http://schemas.openxmlformats.org/spreadsheetml/2006/main"/>
</file>

<file path=xl/persons/person17.xml><?xml version="1.0" encoding="utf-8"?>
<personList xmlns="http://schemas.microsoft.com/office/spreadsheetml/2018/threadedcomments" xmlns:x="http://schemas.openxmlformats.org/spreadsheetml/2006/main"/>
</file>

<file path=xl/persons/person18.xml><?xml version="1.0" encoding="utf-8"?>
<personList xmlns="http://schemas.microsoft.com/office/spreadsheetml/2018/threadedcomments" xmlns:x="http://schemas.openxmlformats.org/spreadsheetml/2006/main"/>
</file>

<file path=xl/persons/person19.xml><?xml version="1.0" encoding="utf-8"?>
<personList xmlns="http://schemas.microsoft.com/office/spreadsheetml/2018/threadedcomments" xmlns:x="http://schemas.openxmlformats.org/spreadsheetml/2006/main"/>
</file>

<file path=xl/persons/person20.xml><?xml version="1.0" encoding="utf-8"?>
<personList xmlns="http://schemas.microsoft.com/office/spreadsheetml/2018/threadedcomments" xmlns:x="http://schemas.openxmlformats.org/spreadsheetml/2006/main"/>
</file>

<file path=xl/persons/person21.xml><?xml version="1.0" encoding="utf-8"?>
<personList xmlns="http://schemas.microsoft.com/office/spreadsheetml/2018/threadedcomments" xmlns:x="http://schemas.openxmlformats.org/spreadsheetml/2006/main"/>
</file>

<file path=xl/persons/person22.xml><?xml version="1.0" encoding="utf-8"?>
<personList xmlns="http://schemas.microsoft.com/office/spreadsheetml/2018/threadedcomments" xmlns:x="http://schemas.openxmlformats.org/spreadsheetml/2006/main"/>
</file>

<file path=xl/persons/person23.xml><?xml version="1.0" encoding="utf-8"?>
<personList xmlns="http://schemas.microsoft.com/office/spreadsheetml/2018/threadedcomments" xmlns:x="http://schemas.openxmlformats.org/spreadsheetml/2006/main"/>
</file>

<file path=xl/persons/person24.xml><?xml version="1.0" encoding="utf-8"?>
<personList xmlns="http://schemas.microsoft.com/office/spreadsheetml/2018/threadedcomments" xmlns:x="http://schemas.openxmlformats.org/spreadsheetml/2006/main"/>
</file>

<file path=xl/persons/person25.xml><?xml version="1.0" encoding="utf-8"?>
<personList xmlns="http://schemas.microsoft.com/office/spreadsheetml/2018/threadedcomments" xmlns:x="http://schemas.openxmlformats.org/spreadsheetml/2006/main"/>
</file>

<file path=xl/persons/person26.xml><?xml version="1.0" encoding="utf-8"?>
<personList xmlns="http://schemas.microsoft.com/office/spreadsheetml/2018/threadedcomments" xmlns:x="http://schemas.openxmlformats.org/spreadsheetml/2006/main"/>
</file>

<file path=xl/persons/person27.xml><?xml version="1.0" encoding="utf-8"?>
<personList xmlns="http://schemas.microsoft.com/office/spreadsheetml/2018/threadedcomments" xmlns:x="http://schemas.openxmlformats.org/spreadsheetml/2006/main"/>
</file>

<file path=xl/persons/person28.xml><?xml version="1.0" encoding="utf-8"?>
<personList xmlns="http://schemas.microsoft.com/office/spreadsheetml/2018/threadedcomments" xmlns:x="http://schemas.openxmlformats.org/spreadsheetml/2006/main"/>
</file>

<file path=xl/persons/person29.xml><?xml version="1.0" encoding="utf-8"?>
<personList xmlns="http://schemas.microsoft.com/office/spreadsheetml/2018/threadedcomments" xmlns:x="http://schemas.openxmlformats.org/spreadsheetml/2006/main"/>
</file>

<file path=xl/persons/person30.xml><?xml version="1.0" encoding="utf-8"?>
<personList xmlns="http://schemas.microsoft.com/office/spreadsheetml/2018/threadedcomments" xmlns:x="http://schemas.openxmlformats.org/spreadsheetml/2006/main"/>
</file>

<file path=xl/persons/person31.xml><?xml version="1.0" encoding="utf-8"?>
<personList xmlns="http://schemas.microsoft.com/office/spreadsheetml/2018/threadedcomments" xmlns:x="http://schemas.openxmlformats.org/spreadsheetml/2006/main"/>
</file>

<file path=xl/persons/person32.xml><?xml version="1.0" encoding="utf-8"?>
<personList xmlns="http://schemas.microsoft.com/office/spreadsheetml/2018/threadedcomments" xmlns:x="http://schemas.openxmlformats.org/spreadsheetml/2006/main"/>
</file>

<file path=xl/persons/person33.xml><?xml version="1.0" encoding="utf-8"?>
<personList xmlns="http://schemas.microsoft.com/office/spreadsheetml/2018/threadedcomments" xmlns:x="http://schemas.openxmlformats.org/spreadsheetml/2006/main"/>
</file>

<file path=xl/persons/person34.xml><?xml version="1.0" encoding="utf-8"?>
<personList xmlns="http://schemas.microsoft.com/office/spreadsheetml/2018/threadedcomments" xmlns:x="http://schemas.openxmlformats.org/spreadsheetml/2006/main"/>
</file>

<file path=xl/persons/person35.xml><?xml version="1.0" encoding="utf-8"?>
<personList xmlns="http://schemas.microsoft.com/office/spreadsheetml/2018/threadedcomments" xmlns:x="http://schemas.openxmlformats.org/spreadsheetml/2006/main"/>
</file>

<file path=xl/persons/person36.xml><?xml version="1.0" encoding="utf-8"?>
<personList xmlns="http://schemas.microsoft.com/office/spreadsheetml/2018/threadedcomments" xmlns:x="http://schemas.openxmlformats.org/spreadsheetml/2006/main"/>
</file>

<file path=xl/persons/person37.xml><?xml version="1.0" encoding="utf-8"?>
<personList xmlns="http://schemas.microsoft.com/office/spreadsheetml/2018/threadedcomments" xmlns:x="http://schemas.openxmlformats.org/spreadsheetml/2006/main"/>
</file>

<file path=xl/persons/person38.xml><?xml version="1.0" encoding="utf-8"?>
<personList xmlns="http://schemas.microsoft.com/office/spreadsheetml/2018/threadedcomments" xmlns:x="http://schemas.openxmlformats.org/spreadsheetml/2006/main"/>
</file>

<file path=xl/persons/person39.xml><?xml version="1.0" encoding="utf-8"?>
<personList xmlns="http://schemas.microsoft.com/office/spreadsheetml/2018/threadedcomments" xmlns:x="http://schemas.openxmlformats.org/spreadsheetml/2006/main"/>
</file>

<file path=xl/persons/person40.xml><?xml version="1.0" encoding="utf-8"?>
<personList xmlns="http://schemas.microsoft.com/office/spreadsheetml/2018/threadedcomments" xmlns:x="http://schemas.openxmlformats.org/spreadsheetml/2006/main"/>
</file>

<file path=xl/persons/person41.xml><?xml version="1.0" encoding="utf-8"?>
<personList xmlns="http://schemas.microsoft.com/office/spreadsheetml/2018/threadedcomments" xmlns:x="http://schemas.openxmlformats.org/spreadsheetml/2006/main"/>
</file>

<file path=xl/persons/person42.xml><?xml version="1.0" encoding="utf-8"?>
<personList xmlns="http://schemas.microsoft.com/office/spreadsheetml/2018/threadedcomments" xmlns:x="http://schemas.openxmlformats.org/spreadsheetml/2006/main"/>
</file>

<file path=xl/persons/person43.xml><?xml version="1.0" encoding="utf-8"?>
<personList xmlns="http://schemas.microsoft.com/office/spreadsheetml/2018/threadedcomments" xmlns:x="http://schemas.openxmlformats.org/spreadsheetml/2006/main"/>
</file>

<file path=xl/persons/person44.xml><?xml version="1.0" encoding="utf-8"?>
<personList xmlns="http://schemas.microsoft.com/office/spreadsheetml/2018/threadedcomments" xmlns:x="http://schemas.openxmlformats.org/spreadsheetml/2006/main"/>
</file>

<file path=xl/persons/person45.xml><?xml version="1.0" encoding="utf-8"?>
<personList xmlns="http://schemas.microsoft.com/office/spreadsheetml/2018/threadedcomments" xmlns:x="http://schemas.openxmlformats.org/spreadsheetml/2006/main"/>
</file>

<file path=xl/persons/person46.xml><?xml version="1.0" encoding="utf-8"?>
<personList xmlns="http://schemas.microsoft.com/office/spreadsheetml/2018/threadedcomments" xmlns:x="http://schemas.openxmlformats.org/spreadsheetml/2006/main"/>
</file>

<file path=xl/persons/person47.xml><?xml version="1.0" encoding="utf-8"?>
<personList xmlns="http://schemas.microsoft.com/office/spreadsheetml/2018/threadedcomments" xmlns:x="http://schemas.openxmlformats.org/spreadsheetml/2006/main"/>
</file>

<file path=xl/persons/person48.xml><?xml version="1.0" encoding="utf-8"?>
<personList xmlns="http://schemas.microsoft.com/office/spreadsheetml/2018/threadedcomments" xmlns:x="http://schemas.openxmlformats.org/spreadsheetml/2006/main"/>
</file>

<file path=xl/persons/person49.xml><?xml version="1.0" encoding="utf-8"?>
<personList xmlns="http://schemas.microsoft.com/office/spreadsheetml/2018/threadedcomments" xmlns:x="http://schemas.openxmlformats.org/spreadsheetml/2006/main"/>
</file>

<file path=xl/persons/person50.xml><?xml version="1.0" encoding="utf-8"?>
<personList xmlns="http://schemas.microsoft.com/office/spreadsheetml/2018/threadedcomments" xmlns:x="http://schemas.openxmlformats.org/spreadsheetml/2006/main"/>
</file>

<file path=xl/persons/person51.xml><?xml version="1.0" encoding="utf-8"?>
<personList xmlns="http://schemas.microsoft.com/office/spreadsheetml/2018/threadedcomments" xmlns:x="http://schemas.openxmlformats.org/spreadsheetml/2006/main"/>
</file>

<file path=xl/persons/person52.xml><?xml version="1.0" encoding="utf-8"?>
<personList xmlns="http://schemas.microsoft.com/office/spreadsheetml/2018/threadedcomments" xmlns:x="http://schemas.openxmlformats.org/spreadsheetml/2006/main"/>
</file>

<file path=xl/persons/person53.xml><?xml version="1.0" encoding="utf-8"?>
<personList xmlns="http://schemas.microsoft.com/office/spreadsheetml/2018/threadedcomments" xmlns:x="http://schemas.openxmlformats.org/spreadsheetml/2006/main"/>
</file>

<file path=xl/persons/person54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A7CE7-11D7-476E-9D4A-D9AEC33E636B}">
  <sheetPr codeName="Arkusz1"/>
  <dimension ref="A1:CK87"/>
  <sheetViews>
    <sheetView tabSelected="1" zoomScale="55" zoomScaleNormal="55" workbookViewId="0">
      <selection activeCell="A15" sqref="A15"/>
    </sheetView>
  </sheetViews>
  <sheetFormatPr defaultRowHeight="15"/>
  <cols>
    <col min="1" max="1" width="19.7109375" customWidth="1"/>
    <col min="2" max="2" width="15.42578125" style="1" customWidth="1"/>
    <col min="3" max="3" width="15.28515625" style="1" customWidth="1"/>
    <col min="4" max="4" width="18" style="2" customWidth="1"/>
    <col min="5" max="5" width="22.5703125" style="2" customWidth="1"/>
    <col min="6" max="6" width="19.42578125" style="2" customWidth="1"/>
    <col min="7" max="7" width="17.85546875" style="2" customWidth="1"/>
    <col min="8" max="8" width="19.42578125" style="2" customWidth="1"/>
    <col min="9" max="9" width="15.7109375" style="2" customWidth="1"/>
    <col min="10" max="10" width="18.7109375" bestFit="1" customWidth="1"/>
    <col min="11" max="11" width="15.42578125" bestFit="1" customWidth="1"/>
    <col min="12" max="12" width="10.28515625" customWidth="1"/>
    <col min="13" max="13" width="16.42578125" bestFit="1" customWidth="1"/>
    <col min="14" max="14" width="15.85546875" customWidth="1"/>
    <col min="15" max="15" width="15.5703125" customWidth="1"/>
    <col min="16" max="16" width="13.42578125" customWidth="1"/>
    <col min="17" max="17" width="17.85546875" customWidth="1"/>
    <col min="21" max="22" width="7.28515625" customWidth="1"/>
  </cols>
  <sheetData>
    <row r="1" spans="1:89" ht="3" customHeight="1" thickTop="1" thickBot="1">
      <c r="A1" s="5"/>
      <c r="B1" s="6"/>
      <c r="C1" s="6"/>
      <c r="D1" s="7"/>
      <c r="E1" s="7"/>
      <c r="F1" s="7"/>
      <c r="G1" s="7"/>
      <c r="H1" s="7"/>
      <c r="I1" s="7"/>
      <c r="J1" s="5"/>
      <c r="K1" s="5"/>
      <c r="L1" s="5"/>
      <c r="M1" s="5"/>
      <c r="N1" s="5"/>
      <c r="O1" s="5"/>
      <c r="P1" s="5"/>
      <c r="Q1" s="89"/>
      <c r="R1" s="89"/>
      <c r="S1" s="89"/>
      <c r="T1" s="89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</row>
    <row r="2" spans="1:89" ht="80.25" thickTop="1" thickBot="1">
      <c r="A2" s="110" t="s">
        <v>12</v>
      </c>
      <c r="B2" s="111" t="s">
        <v>11</v>
      </c>
      <c r="C2" s="111" t="s">
        <v>13</v>
      </c>
      <c r="D2" s="112" t="s">
        <v>14</v>
      </c>
      <c r="E2" s="113" t="s">
        <v>1</v>
      </c>
      <c r="F2" s="112" t="s">
        <v>6</v>
      </c>
      <c r="G2" s="112" t="s">
        <v>5</v>
      </c>
      <c r="H2" s="112" t="s">
        <v>7</v>
      </c>
      <c r="I2" s="112" t="s">
        <v>15</v>
      </c>
      <c r="J2" s="113" t="s">
        <v>4</v>
      </c>
      <c r="K2" s="113" t="s">
        <v>3</v>
      </c>
      <c r="L2" s="113" t="s">
        <v>8</v>
      </c>
      <c r="M2" s="113" t="s">
        <v>9</v>
      </c>
      <c r="N2" s="113" t="s">
        <v>2</v>
      </c>
      <c r="O2" s="113" t="s">
        <v>10</v>
      </c>
      <c r="P2" s="114" t="s">
        <v>78</v>
      </c>
      <c r="Q2" s="317"/>
      <c r="R2" s="317"/>
      <c r="S2" s="317"/>
      <c r="T2" s="317"/>
      <c r="U2" s="291"/>
      <c r="V2" s="273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</row>
    <row r="3" spans="1:89" ht="21" thickBot="1">
      <c r="A3" s="171">
        <v>44901</v>
      </c>
      <c r="B3" s="172">
        <v>44932</v>
      </c>
      <c r="C3" s="173">
        <f>B3-A3</f>
        <v>31</v>
      </c>
      <c r="D3" s="174">
        <v>44928</v>
      </c>
      <c r="E3" s="175">
        <v>83.6</v>
      </c>
      <c r="F3" s="175">
        <v>1000</v>
      </c>
      <c r="G3" s="176">
        <f>F3-E3</f>
        <v>916.4</v>
      </c>
      <c r="H3" s="177">
        <f t="shared" ref="H3:H14" si="0">(G3-F3)*(-1)</f>
        <v>83.600000000000023</v>
      </c>
      <c r="I3" s="178">
        <f>H3/C3</f>
        <v>2.696774193548388</v>
      </c>
      <c r="J3" s="179">
        <v>0.89</v>
      </c>
      <c r="K3" s="180">
        <f t="shared" ref="K3:K14" si="1">(J3*L3)+J3</f>
        <v>0.9345</v>
      </c>
      <c r="L3" s="211">
        <v>0.05</v>
      </c>
      <c r="M3" s="181">
        <v>108</v>
      </c>
      <c r="N3" s="182">
        <f>H3*((J3*L3)+J3)</f>
        <v>78.124200000000016</v>
      </c>
      <c r="O3" s="214">
        <f t="shared" ref="O3:O14" si="2">N3+M3</f>
        <v>186.12420000000003</v>
      </c>
      <c r="P3" s="183">
        <f>(12-COUNTBLANK(M3:M14))*A15</f>
        <v>12</v>
      </c>
      <c r="Q3" s="318"/>
      <c r="R3" s="318"/>
      <c r="S3" s="318"/>
      <c r="T3" s="318"/>
      <c r="U3" s="247"/>
      <c r="V3" s="274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</row>
    <row r="4" spans="1:89" ht="19.5" customHeight="1" thickTop="1" thickBot="1">
      <c r="A4" s="184">
        <f t="shared" ref="A4:A14" si="3">B3</f>
        <v>44932</v>
      </c>
      <c r="B4" s="185">
        <v>44963</v>
      </c>
      <c r="C4" s="186">
        <f t="shared" ref="C4:C14" si="4">B4-A4</f>
        <v>31</v>
      </c>
      <c r="D4" s="187">
        <v>44959</v>
      </c>
      <c r="E4" s="188">
        <v>84.1</v>
      </c>
      <c r="F4" s="189">
        <f>F3+E4</f>
        <v>1084.0999999999999</v>
      </c>
      <c r="G4" s="190">
        <f t="shared" ref="G4:G14" si="5">F3</f>
        <v>1000</v>
      </c>
      <c r="H4" s="191">
        <f t="shared" si="0"/>
        <v>84.099999999999909</v>
      </c>
      <c r="I4" s="190">
        <f t="shared" ref="I4:I14" si="6">H4/C4</f>
        <v>2.7129032258064485</v>
      </c>
      <c r="J4" s="192">
        <v>0.89</v>
      </c>
      <c r="K4" s="193">
        <f t="shared" si="1"/>
        <v>0.9345</v>
      </c>
      <c r="L4" s="212">
        <v>0.05</v>
      </c>
      <c r="M4" s="194">
        <v>164</v>
      </c>
      <c r="N4" s="195">
        <f t="shared" ref="N4:N14" si="7">H4*((J4*L4)+J4)</f>
        <v>78.591449999999909</v>
      </c>
      <c r="O4" s="215">
        <f t="shared" si="2"/>
        <v>242.5914499999999</v>
      </c>
      <c r="P4" s="196">
        <f t="shared" ref="P4:P14" si="8">(O3-O4)*(-1)</f>
        <v>56.467249999999865</v>
      </c>
      <c r="Q4" s="275" t="s">
        <v>81</v>
      </c>
      <c r="R4" s="276"/>
      <c r="S4" s="276"/>
      <c r="T4" s="276"/>
      <c r="U4" s="247"/>
      <c r="V4" s="274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</row>
    <row r="5" spans="1:89" ht="20.25" thickTop="1" thickBot="1">
      <c r="A5" s="184">
        <f t="shared" si="3"/>
        <v>44963</v>
      </c>
      <c r="B5" s="185">
        <v>44991</v>
      </c>
      <c r="C5" s="186">
        <f t="shared" si="4"/>
        <v>28</v>
      </c>
      <c r="D5" s="187">
        <v>44987</v>
      </c>
      <c r="E5" s="188">
        <v>81.12</v>
      </c>
      <c r="F5" s="189">
        <f t="shared" ref="F5:F14" si="9">F4+E5</f>
        <v>1165.2199999999998</v>
      </c>
      <c r="G5" s="190">
        <f t="shared" si="5"/>
        <v>1084.0999999999999</v>
      </c>
      <c r="H5" s="191">
        <f t="shared" si="0"/>
        <v>81.119999999999891</v>
      </c>
      <c r="I5" s="190">
        <f t="shared" si="6"/>
        <v>2.8971428571428532</v>
      </c>
      <c r="J5" s="192">
        <v>0.95</v>
      </c>
      <c r="K5" s="193">
        <f t="shared" si="1"/>
        <v>0.99749999999999994</v>
      </c>
      <c r="L5" s="212">
        <v>0.05</v>
      </c>
      <c r="M5" s="194">
        <v>111</v>
      </c>
      <c r="N5" s="195">
        <f t="shared" si="7"/>
        <v>80.91719999999988</v>
      </c>
      <c r="O5" s="215">
        <f t="shared" si="2"/>
        <v>191.91719999999987</v>
      </c>
      <c r="P5" s="196">
        <f t="shared" si="8"/>
        <v>-50.674250000000029</v>
      </c>
      <c r="Q5" s="275"/>
      <c r="R5" s="276"/>
      <c r="S5" s="276"/>
      <c r="T5" s="276"/>
      <c r="U5" s="247"/>
      <c r="V5" s="274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</row>
    <row r="6" spans="1:89" ht="20.25" thickTop="1" thickBot="1">
      <c r="A6" s="184">
        <f t="shared" si="3"/>
        <v>44991</v>
      </c>
      <c r="B6" s="185">
        <v>45022</v>
      </c>
      <c r="C6" s="186">
        <f t="shared" si="4"/>
        <v>31</v>
      </c>
      <c r="D6" s="187">
        <v>45018</v>
      </c>
      <c r="E6" s="188">
        <v>83.6</v>
      </c>
      <c r="F6" s="189">
        <f t="shared" si="9"/>
        <v>1248.8199999999997</v>
      </c>
      <c r="G6" s="190">
        <f t="shared" si="5"/>
        <v>1165.2199999999998</v>
      </c>
      <c r="H6" s="191">
        <f t="shared" si="0"/>
        <v>83.599999999999909</v>
      </c>
      <c r="I6" s="190">
        <f t="shared" si="6"/>
        <v>2.696774193548384</v>
      </c>
      <c r="J6" s="192">
        <v>0.97</v>
      </c>
      <c r="K6" s="193">
        <f t="shared" si="1"/>
        <v>1.0185</v>
      </c>
      <c r="L6" s="212">
        <v>0.05</v>
      </c>
      <c r="M6" s="194">
        <v>117</v>
      </c>
      <c r="N6" s="195">
        <f t="shared" si="7"/>
        <v>85.146599999999907</v>
      </c>
      <c r="O6" s="215">
        <f t="shared" si="2"/>
        <v>202.14659999999992</v>
      </c>
      <c r="P6" s="196">
        <f t="shared" si="8"/>
        <v>10.229400000000055</v>
      </c>
      <c r="Q6" s="275"/>
      <c r="R6" s="276"/>
      <c r="S6" s="276"/>
      <c r="T6" s="276"/>
      <c r="U6" s="247"/>
      <c r="V6" s="274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</row>
    <row r="7" spans="1:89" ht="20.25" thickTop="1" thickBot="1">
      <c r="A7" s="184">
        <f t="shared" si="3"/>
        <v>45022</v>
      </c>
      <c r="B7" s="185">
        <v>45052</v>
      </c>
      <c r="C7" s="186">
        <f t="shared" si="4"/>
        <v>30</v>
      </c>
      <c r="D7" s="187">
        <v>45048</v>
      </c>
      <c r="E7" s="188">
        <v>84</v>
      </c>
      <c r="F7" s="189">
        <f t="shared" si="9"/>
        <v>1332.8199999999997</v>
      </c>
      <c r="G7" s="190">
        <f t="shared" si="5"/>
        <v>1248.8199999999997</v>
      </c>
      <c r="H7" s="191">
        <f t="shared" si="0"/>
        <v>84</v>
      </c>
      <c r="I7" s="190">
        <f t="shared" si="6"/>
        <v>2.8</v>
      </c>
      <c r="J7" s="192">
        <v>1.05</v>
      </c>
      <c r="K7" s="193">
        <f t="shared" si="1"/>
        <v>1.1025</v>
      </c>
      <c r="L7" s="212">
        <v>0.05</v>
      </c>
      <c r="M7" s="194">
        <v>158.80000000000001</v>
      </c>
      <c r="N7" s="195">
        <f t="shared" si="7"/>
        <v>92.61</v>
      </c>
      <c r="O7" s="215">
        <f t="shared" si="2"/>
        <v>251.41000000000003</v>
      </c>
      <c r="P7" s="196">
        <f t="shared" si="8"/>
        <v>49.263400000000104</v>
      </c>
      <c r="Q7" s="275"/>
      <c r="R7" s="276"/>
      <c r="S7" s="276"/>
      <c r="T7" s="276"/>
      <c r="U7" s="247"/>
      <c r="V7" s="274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</row>
    <row r="8" spans="1:89" ht="20.25" thickTop="1" thickBot="1">
      <c r="A8" s="184">
        <f t="shared" si="3"/>
        <v>45052</v>
      </c>
      <c r="B8" s="185">
        <v>45083</v>
      </c>
      <c r="C8" s="186">
        <f t="shared" si="4"/>
        <v>31</v>
      </c>
      <c r="D8" s="187">
        <v>45079</v>
      </c>
      <c r="E8" s="188">
        <v>80</v>
      </c>
      <c r="F8" s="189">
        <f t="shared" si="9"/>
        <v>1412.8199999999997</v>
      </c>
      <c r="G8" s="190">
        <f t="shared" si="5"/>
        <v>1332.8199999999997</v>
      </c>
      <c r="H8" s="191">
        <f t="shared" si="0"/>
        <v>80</v>
      </c>
      <c r="I8" s="190">
        <f t="shared" si="6"/>
        <v>2.5806451612903225</v>
      </c>
      <c r="J8" s="192">
        <v>1.06</v>
      </c>
      <c r="K8" s="193">
        <f t="shared" si="1"/>
        <v>1.113</v>
      </c>
      <c r="L8" s="212">
        <v>0.05</v>
      </c>
      <c r="M8" s="194">
        <v>122.77</v>
      </c>
      <c r="N8" s="195">
        <f t="shared" si="7"/>
        <v>89.039999999999992</v>
      </c>
      <c r="O8" s="215">
        <f t="shared" si="2"/>
        <v>211.81</v>
      </c>
      <c r="P8" s="196">
        <f t="shared" si="8"/>
        <v>-39.600000000000023</v>
      </c>
      <c r="Q8" s="275"/>
      <c r="R8" s="276"/>
      <c r="S8" s="276"/>
      <c r="T8" s="276"/>
      <c r="U8" s="247"/>
      <c r="V8" s="274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</row>
    <row r="9" spans="1:89" ht="20.25" thickTop="1" thickBot="1">
      <c r="A9" s="184">
        <f t="shared" si="3"/>
        <v>45083</v>
      </c>
      <c r="B9" s="185">
        <v>45113</v>
      </c>
      <c r="C9" s="186">
        <f t="shared" si="4"/>
        <v>30</v>
      </c>
      <c r="D9" s="187">
        <v>45109</v>
      </c>
      <c r="E9" s="188">
        <v>79.849999999999994</v>
      </c>
      <c r="F9" s="189">
        <f t="shared" si="9"/>
        <v>1492.6699999999996</v>
      </c>
      <c r="G9" s="190">
        <f t="shared" si="5"/>
        <v>1412.8199999999997</v>
      </c>
      <c r="H9" s="191">
        <f t="shared" si="0"/>
        <v>79.849999999999909</v>
      </c>
      <c r="I9" s="190">
        <f t="shared" si="6"/>
        <v>2.6616666666666635</v>
      </c>
      <c r="J9" s="192">
        <v>1.0900000000000001</v>
      </c>
      <c r="K9" s="193">
        <f t="shared" si="1"/>
        <v>1.1445000000000001</v>
      </c>
      <c r="L9" s="212">
        <v>0.05</v>
      </c>
      <c r="M9" s="194">
        <v>132.43</v>
      </c>
      <c r="N9" s="195">
        <f t="shared" si="7"/>
        <v>91.388324999999895</v>
      </c>
      <c r="O9" s="215">
        <f t="shared" si="2"/>
        <v>223.8183249999999</v>
      </c>
      <c r="P9" s="196">
        <f t="shared" si="8"/>
        <v>12.0083249999999</v>
      </c>
      <c r="Q9" s="275"/>
      <c r="R9" s="276"/>
      <c r="S9" s="276"/>
      <c r="T9" s="276"/>
      <c r="U9" s="247"/>
      <c r="V9" s="274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</row>
    <row r="10" spans="1:89" ht="19.5" customHeight="1" thickTop="1" thickBot="1">
      <c r="A10" s="184">
        <f t="shared" si="3"/>
        <v>45113</v>
      </c>
      <c r="B10" s="185">
        <v>45144</v>
      </c>
      <c r="C10" s="186">
        <f t="shared" si="4"/>
        <v>31</v>
      </c>
      <c r="D10" s="187">
        <v>45140</v>
      </c>
      <c r="E10" s="188">
        <v>78.25</v>
      </c>
      <c r="F10" s="189">
        <f t="shared" si="9"/>
        <v>1570.9199999999996</v>
      </c>
      <c r="G10" s="190">
        <f t="shared" si="5"/>
        <v>1492.6699999999996</v>
      </c>
      <c r="H10" s="191">
        <f t="shared" si="0"/>
        <v>78.25</v>
      </c>
      <c r="I10" s="190">
        <f t="shared" si="6"/>
        <v>2.524193548387097</v>
      </c>
      <c r="J10" s="192">
        <v>1.1000000000000001</v>
      </c>
      <c r="K10" s="193">
        <f t="shared" si="1"/>
        <v>1.155</v>
      </c>
      <c r="L10" s="212">
        <v>0.05</v>
      </c>
      <c r="M10" s="194">
        <v>142.37</v>
      </c>
      <c r="N10" s="195">
        <f t="shared" si="7"/>
        <v>90.378749999999997</v>
      </c>
      <c r="O10" s="215">
        <f t="shared" si="2"/>
        <v>232.74875</v>
      </c>
      <c r="P10" s="196">
        <f t="shared" si="8"/>
        <v>8.9304250000000991</v>
      </c>
      <c r="Q10" s="277" t="s">
        <v>65</v>
      </c>
      <c r="R10" s="278"/>
      <c r="S10" s="278"/>
      <c r="T10" s="278"/>
      <c r="U10" s="247"/>
      <c r="V10" s="274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</row>
    <row r="11" spans="1:89" ht="20.25" thickTop="1" thickBot="1">
      <c r="A11" s="184">
        <f t="shared" si="3"/>
        <v>45144</v>
      </c>
      <c r="B11" s="185">
        <v>45175</v>
      </c>
      <c r="C11" s="186">
        <f t="shared" si="4"/>
        <v>31</v>
      </c>
      <c r="D11" s="187">
        <v>45171</v>
      </c>
      <c r="E11" s="188">
        <v>77.95</v>
      </c>
      <c r="F11" s="189">
        <f t="shared" si="9"/>
        <v>1648.8699999999997</v>
      </c>
      <c r="G11" s="190">
        <f t="shared" si="5"/>
        <v>1570.9199999999996</v>
      </c>
      <c r="H11" s="191">
        <f t="shared" si="0"/>
        <v>77.950000000000045</v>
      </c>
      <c r="I11" s="190">
        <f t="shared" si="6"/>
        <v>2.5145161290322595</v>
      </c>
      <c r="J11" s="192">
        <v>1.1200000000000001</v>
      </c>
      <c r="K11" s="193">
        <f t="shared" si="1"/>
        <v>1.1760000000000002</v>
      </c>
      <c r="L11" s="212">
        <v>0.05</v>
      </c>
      <c r="M11" s="194">
        <v>120.96</v>
      </c>
      <c r="N11" s="195">
        <f t="shared" si="7"/>
        <v>91.66920000000006</v>
      </c>
      <c r="O11" s="215">
        <f t="shared" si="2"/>
        <v>212.62920000000005</v>
      </c>
      <c r="P11" s="196">
        <f t="shared" si="8"/>
        <v>-20.119549999999947</v>
      </c>
      <c r="Q11" s="277"/>
      <c r="R11" s="278"/>
      <c r="S11" s="278"/>
      <c r="T11" s="278"/>
      <c r="U11" s="247"/>
      <c r="V11" s="274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</row>
    <row r="12" spans="1:89" ht="20.25" thickTop="1" thickBot="1">
      <c r="A12" s="184">
        <f t="shared" si="3"/>
        <v>45175</v>
      </c>
      <c r="B12" s="185">
        <v>45205</v>
      </c>
      <c r="C12" s="186">
        <f t="shared" si="4"/>
        <v>30</v>
      </c>
      <c r="D12" s="187">
        <v>45201</v>
      </c>
      <c r="E12" s="188">
        <v>79.150000000000006</v>
      </c>
      <c r="F12" s="189">
        <f t="shared" si="9"/>
        <v>1728.0199999999998</v>
      </c>
      <c r="G12" s="190">
        <f t="shared" si="5"/>
        <v>1648.8699999999997</v>
      </c>
      <c r="H12" s="191">
        <f t="shared" si="0"/>
        <v>79.150000000000091</v>
      </c>
      <c r="I12" s="190">
        <f t="shared" si="6"/>
        <v>2.6383333333333363</v>
      </c>
      <c r="J12" s="192">
        <v>1.18</v>
      </c>
      <c r="K12" s="193">
        <f t="shared" si="1"/>
        <v>1.2389999999999999</v>
      </c>
      <c r="L12" s="212">
        <v>0.05</v>
      </c>
      <c r="M12" s="194">
        <v>132.13</v>
      </c>
      <c r="N12" s="195">
        <f t="shared" si="7"/>
        <v>98.066850000000102</v>
      </c>
      <c r="O12" s="215">
        <f t="shared" si="2"/>
        <v>230.1968500000001</v>
      </c>
      <c r="P12" s="196">
        <f t="shared" si="8"/>
        <v>17.567650000000043</v>
      </c>
      <c r="Q12" s="277"/>
      <c r="R12" s="278"/>
      <c r="S12" s="278"/>
      <c r="T12" s="278"/>
      <c r="U12" s="247"/>
      <c r="V12" s="274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</row>
    <row r="13" spans="1:89" ht="20.25" thickTop="1" thickBot="1">
      <c r="A13" s="184">
        <f t="shared" si="3"/>
        <v>45205</v>
      </c>
      <c r="B13" s="185">
        <v>45236</v>
      </c>
      <c r="C13" s="186">
        <f t="shared" si="4"/>
        <v>31</v>
      </c>
      <c r="D13" s="187">
        <v>45232</v>
      </c>
      <c r="E13" s="188">
        <v>82.55</v>
      </c>
      <c r="F13" s="189">
        <f t="shared" si="9"/>
        <v>1810.5699999999997</v>
      </c>
      <c r="G13" s="190">
        <f t="shared" si="5"/>
        <v>1728.0199999999998</v>
      </c>
      <c r="H13" s="191">
        <f t="shared" si="0"/>
        <v>82.549999999999955</v>
      </c>
      <c r="I13" s="190">
        <f t="shared" si="6"/>
        <v>2.66290322580645</v>
      </c>
      <c r="J13" s="192">
        <v>1.28</v>
      </c>
      <c r="K13" s="193">
        <f t="shared" si="1"/>
        <v>1.3440000000000001</v>
      </c>
      <c r="L13" s="212">
        <v>0.05</v>
      </c>
      <c r="M13" s="194">
        <v>136.88</v>
      </c>
      <c r="N13" s="195">
        <f t="shared" si="7"/>
        <v>110.94719999999995</v>
      </c>
      <c r="O13" s="215">
        <f t="shared" si="2"/>
        <v>247.82719999999995</v>
      </c>
      <c r="P13" s="196">
        <f t="shared" si="8"/>
        <v>17.630349999999851</v>
      </c>
      <c r="Q13" s="279" t="s">
        <v>77</v>
      </c>
      <c r="R13" s="280"/>
      <c r="S13" s="280"/>
      <c r="T13" s="280"/>
      <c r="U13" s="247"/>
      <c r="V13" s="274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</row>
    <row r="14" spans="1:89" ht="20.25" thickTop="1" thickBot="1">
      <c r="A14" s="197">
        <f t="shared" si="3"/>
        <v>45236</v>
      </c>
      <c r="B14" s="198">
        <v>45266</v>
      </c>
      <c r="C14" s="199">
        <f t="shared" si="4"/>
        <v>30</v>
      </c>
      <c r="D14" s="200">
        <v>45262</v>
      </c>
      <c r="E14" s="201">
        <v>84.75</v>
      </c>
      <c r="F14" s="202">
        <f t="shared" si="9"/>
        <v>1895.3199999999997</v>
      </c>
      <c r="G14" s="203">
        <f t="shared" si="5"/>
        <v>1810.5699999999997</v>
      </c>
      <c r="H14" s="204">
        <f t="shared" si="0"/>
        <v>84.75</v>
      </c>
      <c r="I14" s="205">
        <f t="shared" si="6"/>
        <v>2.8250000000000002</v>
      </c>
      <c r="J14" s="206">
        <v>1.36</v>
      </c>
      <c r="K14" s="207">
        <f t="shared" si="1"/>
        <v>1.4280000000000002</v>
      </c>
      <c r="L14" s="213">
        <v>0.05</v>
      </c>
      <c r="M14" s="208">
        <v>153.32</v>
      </c>
      <c r="N14" s="209">
        <f t="shared" si="7"/>
        <v>121.02300000000001</v>
      </c>
      <c r="O14" s="216">
        <f t="shared" si="2"/>
        <v>274.34300000000002</v>
      </c>
      <c r="P14" s="210">
        <f t="shared" si="8"/>
        <v>26.51580000000007</v>
      </c>
      <c r="Q14" s="281"/>
      <c r="R14" s="282"/>
      <c r="S14" s="282"/>
      <c r="T14" s="282"/>
      <c r="U14" s="247"/>
      <c r="V14" s="274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</row>
    <row r="15" spans="1:89" ht="44.1" customHeight="1" thickTop="1" thickBot="1">
      <c r="A15" s="105">
        <v>1</v>
      </c>
      <c r="B15" s="117">
        <f>(H15/A15)/P3</f>
        <v>225.63023124999995</v>
      </c>
      <c r="C15" s="115" t="s">
        <v>16</v>
      </c>
      <c r="D15" s="116">
        <f>SUM(N3:N14)</f>
        <v>1107.9027749999998</v>
      </c>
      <c r="E15" s="115" t="s">
        <v>17</v>
      </c>
      <c r="F15" s="116">
        <f>SUM(M3:M14)</f>
        <v>1599.66</v>
      </c>
      <c r="G15" s="115" t="s">
        <v>18</v>
      </c>
      <c r="H15" s="118">
        <f>SUM(O3:O14)</f>
        <v>2707.5627749999994</v>
      </c>
      <c r="I15" s="288" t="s">
        <v>85</v>
      </c>
      <c r="J15" s="289"/>
      <c r="K15" s="290"/>
      <c r="L15" s="119"/>
      <c r="M15" s="90"/>
      <c r="N15" s="90"/>
      <c r="O15" s="91"/>
      <c r="P15" s="92"/>
      <c r="Q15" s="10"/>
      <c r="R15" s="84"/>
      <c r="S15" s="84"/>
      <c r="T15" s="10"/>
      <c r="U15" s="247"/>
      <c r="V15" s="274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</row>
    <row r="16" spans="1:89" ht="21" customHeight="1" thickTop="1">
      <c r="A16" s="319"/>
      <c r="B16" s="320"/>
      <c r="C16" s="320"/>
      <c r="D16" s="320"/>
      <c r="E16" s="320"/>
      <c r="F16" s="320"/>
      <c r="G16" s="320"/>
      <c r="H16" s="321"/>
      <c r="I16" s="223" t="s">
        <v>92</v>
      </c>
      <c r="J16" s="224"/>
      <c r="K16" s="225"/>
      <c r="L16" s="4"/>
      <c r="M16" s="4"/>
      <c r="N16" s="4"/>
      <c r="O16" s="4"/>
      <c r="P16" s="93"/>
      <c r="Q16" s="10"/>
      <c r="R16" s="84"/>
      <c r="S16" s="84"/>
      <c r="T16" s="10"/>
      <c r="U16" s="247"/>
      <c r="V16" s="274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</row>
    <row r="17" spans="1:89" ht="15" customHeight="1">
      <c r="A17" s="322"/>
      <c r="B17" s="323"/>
      <c r="C17" s="323"/>
      <c r="D17" s="323"/>
      <c r="E17" s="323"/>
      <c r="F17" s="323"/>
      <c r="G17" s="323"/>
      <c r="H17" s="324"/>
      <c r="I17" s="223"/>
      <c r="J17" s="224"/>
      <c r="K17" s="225"/>
      <c r="L17" s="4"/>
      <c r="M17" s="4"/>
      <c r="N17" s="4"/>
      <c r="O17" s="4"/>
      <c r="P17" s="93"/>
      <c r="Q17" s="10"/>
      <c r="R17" s="84"/>
      <c r="S17" s="84"/>
      <c r="T17" s="10"/>
      <c r="U17" s="247"/>
      <c r="V17" s="274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</row>
    <row r="18" spans="1:89" ht="15" customHeight="1">
      <c r="A18" s="322"/>
      <c r="B18" s="323"/>
      <c r="C18" s="323"/>
      <c r="D18" s="323"/>
      <c r="E18" s="323"/>
      <c r="F18" s="323"/>
      <c r="G18" s="323"/>
      <c r="H18" s="324"/>
      <c r="I18" s="223" t="s">
        <v>86</v>
      </c>
      <c r="J18" s="224"/>
      <c r="K18" s="225"/>
      <c r="L18" s="4"/>
      <c r="M18" s="4"/>
      <c r="N18" s="4"/>
      <c r="O18" s="4"/>
      <c r="P18" s="93"/>
      <c r="Q18" s="10"/>
      <c r="R18" s="84"/>
      <c r="S18" s="84"/>
      <c r="T18" s="10"/>
      <c r="U18" s="247"/>
      <c r="V18" s="274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</row>
    <row r="19" spans="1:89" ht="15" customHeight="1" thickBot="1">
      <c r="A19" s="325"/>
      <c r="B19" s="326"/>
      <c r="C19" s="326"/>
      <c r="D19" s="326"/>
      <c r="E19" s="326"/>
      <c r="F19" s="326"/>
      <c r="G19" s="326"/>
      <c r="H19" s="327"/>
      <c r="I19" s="223"/>
      <c r="J19" s="224"/>
      <c r="K19" s="225"/>
      <c r="L19" s="4"/>
      <c r="M19" s="4"/>
      <c r="N19" s="4"/>
      <c r="O19" s="4"/>
      <c r="P19" s="93"/>
      <c r="Q19" s="10"/>
      <c r="R19" s="84"/>
      <c r="S19" s="84"/>
      <c r="T19" s="10"/>
      <c r="U19" s="247"/>
      <c r="V19" s="274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</row>
    <row r="20" spans="1:89" ht="15" customHeight="1" thickTop="1">
      <c r="A20" s="243" t="s">
        <v>76</v>
      </c>
      <c r="B20" s="244"/>
      <c r="C20" s="245"/>
      <c r="D20" s="235" t="s">
        <v>79</v>
      </c>
      <c r="E20" s="236"/>
      <c r="F20" s="236"/>
      <c r="G20" s="285" t="s">
        <v>80</v>
      </c>
      <c r="H20" s="246"/>
      <c r="I20" s="217"/>
      <c r="J20" s="218"/>
      <c r="K20" s="219"/>
      <c r="L20" s="4"/>
      <c r="M20" s="4"/>
      <c r="N20" s="4"/>
      <c r="O20" s="4"/>
      <c r="P20" s="93"/>
      <c r="Q20" s="10"/>
      <c r="R20" s="84"/>
      <c r="S20" s="84"/>
      <c r="T20" s="10"/>
      <c r="U20" s="247"/>
      <c r="V20" s="274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</row>
    <row r="21" spans="1:89" ht="15" customHeight="1">
      <c r="A21" s="241" t="s">
        <v>75</v>
      </c>
      <c r="B21" s="242"/>
      <c r="C21" s="242"/>
      <c r="D21" s="237"/>
      <c r="E21" s="238"/>
      <c r="F21" s="238"/>
      <c r="G21" s="286"/>
      <c r="H21" s="247"/>
      <c r="I21" s="223" t="s">
        <v>87</v>
      </c>
      <c r="J21" s="224"/>
      <c r="K21" s="225"/>
      <c r="L21" s="4"/>
      <c r="M21" s="4"/>
      <c r="N21" s="4"/>
      <c r="O21" s="4"/>
      <c r="P21" s="93"/>
      <c r="Q21" s="10"/>
      <c r="R21" s="84"/>
      <c r="S21" s="84"/>
      <c r="T21" s="10"/>
      <c r="U21" s="247"/>
      <c r="V21" s="274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</row>
    <row r="22" spans="1:89" ht="15" customHeight="1" thickBot="1">
      <c r="A22" s="232" t="s">
        <v>74</v>
      </c>
      <c r="B22" s="233"/>
      <c r="C22" s="234"/>
      <c r="D22" s="239"/>
      <c r="E22" s="240"/>
      <c r="F22" s="240"/>
      <c r="G22" s="287"/>
      <c r="H22" s="248"/>
      <c r="I22" s="223"/>
      <c r="J22" s="224"/>
      <c r="K22" s="225"/>
      <c r="L22" s="4"/>
      <c r="M22" s="4"/>
      <c r="N22" s="4"/>
      <c r="O22" s="4"/>
      <c r="P22" s="93"/>
      <c r="Q22" s="10"/>
      <c r="R22" s="84"/>
      <c r="S22" s="84"/>
      <c r="T22" s="10"/>
      <c r="U22" s="247"/>
      <c r="V22" s="274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</row>
    <row r="23" spans="1:89" ht="15" customHeight="1" thickTop="1">
      <c r="A23" s="147"/>
      <c r="B23" s="147"/>
      <c r="C23" s="147"/>
      <c r="D23" s="147"/>
      <c r="E23" s="147"/>
      <c r="F23" s="147"/>
      <c r="G23" s="147"/>
      <c r="H23" s="147"/>
      <c r="I23" s="223" t="s">
        <v>88</v>
      </c>
      <c r="J23" s="224"/>
      <c r="K23" s="225"/>
      <c r="L23" s="4"/>
      <c r="M23" s="4"/>
      <c r="N23" s="4"/>
      <c r="O23" s="4"/>
      <c r="P23" s="93"/>
      <c r="Q23" s="10"/>
      <c r="R23" s="84"/>
      <c r="S23" s="84"/>
      <c r="T23" s="10"/>
      <c r="U23" s="247"/>
      <c r="V23" s="274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</row>
    <row r="24" spans="1:89" ht="15" customHeight="1" thickBot="1">
      <c r="A24" s="148"/>
      <c r="B24" s="149"/>
      <c r="C24" s="149"/>
      <c r="D24" s="150"/>
      <c r="E24" s="150"/>
      <c r="F24" s="150"/>
      <c r="G24" s="151"/>
      <c r="H24" s="151"/>
      <c r="I24" s="223"/>
      <c r="J24" s="224"/>
      <c r="K24" s="225"/>
      <c r="L24" s="4"/>
      <c r="M24" s="4"/>
      <c r="N24" s="4"/>
      <c r="O24" s="4"/>
      <c r="P24" s="93"/>
      <c r="Q24" s="10"/>
      <c r="R24" s="84"/>
      <c r="S24" s="84"/>
      <c r="T24" s="10"/>
      <c r="U24" s="247"/>
      <c r="V24" s="274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</row>
    <row r="25" spans="1:89" ht="15" customHeight="1" thickTop="1">
      <c r="A25" s="148"/>
      <c r="B25" s="149"/>
      <c r="C25" s="149"/>
      <c r="D25" s="150"/>
      <c r="E25" s="150"/>
      <c r="F25" s="150"/>
      <c r="G25" s="151"/>
      <c r="H25" s="151"/>
      <c r="I25" s="223" t="s">
        <v>89</v>
      </c>
      <c r="J25" s="224"/>
      <c r="K25" s="225"/>
      <c r="L25" s="4"/>
      <c r="M25" s="4"/>
      <c r="N25" s="4"/>
      <c r="O25" s="4"/>
      <c r="P25" s="93"/>
      <c r="Q25" s="106"/>
      <c r="R25" s="107"/>
      <c r="S25" s="107"/>
      <c r="T25" s="121"/>
      <c r="U25" s="247"/>
      <c r="V25" s="274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</row>
    <row r="26" spans="1:89" ht="15" customHeight="1">
      <c r="A26" s="148"/>
      <c r="B26" s="149"/>
      <c r="C26" s="149"/>
      <c r="D26" s="150"/>
      <c r="E26" s="150"/>
      <c r="F26" s="150"/>
      <c r="G26" s="151"/>
      <c r="H26" s="151"/>
      <c r="I26" s="223"/>
      <c r="J26" s="224"/>
      <c r="K26" s="225"/>
      <c r="L26" s="4"/>
      <c r="M26" s="4"/>
      <c r="N26" s="4"/>
      <c r="O26" s="4"/>
      <c r="P26" s="93"/>
      <c r="Q26" s="10"/>
      <c r="R26" s="84"/>
      <c r="S26" s="84"/>
      <c r="T26" s="10"/>
      <c r="U26" s="247"/>
      <c r="V26" s="274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</row>
    <row r="27" spans="1:89" ht="15" customHeight="1">
      <c r="A27" s="148"/>
      <c r="B27" s="149"/>
      <c r="C27" s="149"/>
      <c r="D27" s="150"/>
      <c r="E27" s="150"/>
      <c r="F27" s="150"/>
      <c r="G27" s="151"/>
      <c r="H27" s="151"/>
      <c r="I27" s="223" t="s">
        <v>90</v>
      </c>
      <c r="J27" s="224"/>
      <c r="K27" s="225"/>
      <c r="L27" s="85"/>
      <c r="M27" s="85"/>
      <c r="N27" s="85"/>
      <c r="O27" s="4"/>
      <c r="P27" s="93"/>
      <c r="Q27" s="10"/>
      <c r="R27" s="84"/>
      <c r="S27" s="84"/>
      <c r="T27" s="10"/>
      <c r="U27" s="247"/>
      <c r="V27" s="274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</row>
    <row r="28" spans="1:89" ht="15" customHeight="1">
      <c r="A28" s="142"/>
      <c r="B28" s="143"/>
      <c r="C28" s="143"/>
      <c r="D28" s="143"/>
      <c r="E28" s="143"/>
      <c r="F28" s="144"/>
      <c r="G28" s="144"/>
      <c r="H28" s="144"/>
      <c r="I28" s="223"/>
      <c r="J28" s="224"/>
      <c r="K28" s="225"/>
      <c r="L28" s="86"/>
      <c r="M28" s="86"/>
      <c r="N28" s="86"/>
      <c r="O28" s="87"/>
      <c r="P28" s="94"/>
      <c r="Q28" s="10"/>
      <c r="R28" s="84"/>
      <c r="S28" s="84"/>
      <c r="T28" s="10"/>
      <c r="U28" s="247"/>
      <c r="V28" s="274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</row>
    <row r="29" spans="1:89" ht="15.75" customHeight="1">
      <c r="A29" s="142"/>
      <c r="B29" s="145"/>
      <c r="C29" s="145"/>
      <c r="D29" s="145"/>
      <c r="E29" s="145"/>
      <c r="F29" s="145"/>
      <c r="G29" s="145"/>
      <c r="H29" s="145"/>
      <c r="I29" s="223" t="s">
        <v>91</v>
      </c>
      <c r="J29" s="224"/>
      <c r="K29" s="225"/>
      <c r="L29" s="4"/>
      <c r="M29" s="4"/>
      <c r="N29" s="4"/>
      <c r="O29" s="4"/>
      <c r="P29" s="93"/>
      <c r="Q29" s="10"/>
      <c r="R29" s="84"/>
      <c r="S29" s="84"/>
      <c r="T29" s="10"/>
      <c r="U29" s="247"/>
      <c r="V29" s="274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</row>
    <row r="30" spans="1:89" ht="15" customHeight="1">
      <c r="A30" s="142"/>
      <c r="B30" s="145"/>
      <c r="C30" s="145"/>
      <c r="D30" s="145"/>
      <c r="E30" s="145"/>
      <c r="F30" s="145"/>
      <c r="G30" s="145"/>
      <c r="H30" s="145"/>
      <c r="I30" s="223"/>
      <c r="J30" s="224"/>
      <c r="K30" s="225"/>
      <c r="L30" s="4"/>
      <c r="M30" s="4"/>
      <c r="N30" s="4"/>
      <c r="O30" s="88"/>
      <c r="P30" s="95"/>
      <c r="Q30" s="10"/>
      <c r="R30" s="84"/>
      <c r="S30" s="84"/>
      <c r="T30" s="10"/>
      <c r="U30" s="247"/>
      <c r="V30" s="274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</row>
    <row r="31" spans="1:89" ht="15" customHeight="1">
      <c r="A31" s="142"/>
      <c r="B31" s="145"/>
      <c r="C31" s="145"/>
      <c r="D31" s="145"/>
      <c r="E31" s="145"/>
      <c r="F31" s="145"/>
      <c r="G31" s="145"/>
      <c r="H31" s="145"/>
      <c r="I31" s="217"/>
      <c r="J31" s="218"/>
      <c r="K31" s="219"/>
      <c r="L31" s="4"/>
      <c r="M31" s="4"/>
      <c r="N31" s="4"/>
      <c r="O31" s="88"/>
      <c r="P31" s="95"/>
      <c r="Q31" s="10"/>
      <c r="R31" s="84"/>
      <c r="S31" s="84"/>
      <c r="T31" s="10"/>
      <c r="U31" s="247"/>
      <c r="V31" s="274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</row>
    <row r="32" spans="1:89" ht="15.75" customHeight="1" thickBot="1">
      <c r="A32" s="142"/>
      <c r="B32" s="145"/>
      <c r="C32" s="145"/>
      <c r="D32" s="145"/>
      <c r="E32" s="145"/>
      <c r="F32" s="145"/>
      <c r="G32" s="145"/>
      <c r="H32" s="146"/>
      <c r="I32" s="220"/>
      <c r="J32" s="221"/>
      <c r="K32" s="222"/>
      <c r="L32" s="4"/>
      <c r="M32" s="4"/>
      <c r="N32" s="4"/>
      <c r="O32" s="88"/>
      <c r="P32" s="95"/>
      <c r="Q32" s="10"/>
      <c r="R32" s="84"/>
      <c r="S32" s="84"/>
      <c r="T32" s="10"/>
      <c r="U32" s="247"/>
      <c r="V32" s="274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</row>
    <row r="33" spans="1:89" ht="15.75" thickTop="1">
      <c r="A33" s="99"/>
      <c r="B33" s="90"/>
      <c r="C33" s="90"/>
      <c r="D33" s="90"/>
      <c r="E33" s="90"/>
      <c r="F33" s="90"/>
      <c r="G33" s="90"/>
      <c r="H33" s="90"/>
      <c r="I33" s="120"/>
      <c r="J33" s="120"/>
      <c r="K33" s="120"/>
      <c r="L33" s="90"/>
      <c r="M33" s="90"/>
      <c r="N33" s="90"/>
      <c r="O33" s="100"/>
      <c r="P33" s="101"/>
      <c r="Q33" s="10"/>
      <c r="R33" s="84"/>
      <c r="S33" s="84"/>
      <c r="T33" s="10"/>
      <c r="U33" s="247"/>
      <c r="V33" s="274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</row>
    <row r="34" spans="1:89">
      <c r="A34" s="98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97"/>
      <c r="P34" s="102"/>
      <c r="Q34" s="10"/>
      <c r="R34" s="84"/>
      <c r="S34" s="84"/>
      <c r="T34" s="10"/>
      <c r="U34" s="247"/>
      <c r="V34" s="274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</row>
    <row r="35" spans="1:89">
      <c r="A35" s="98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97"/>
      <c r="P35" s="102"/>
      <c r="Q35" s="10"/>
      <c r="R35" s="84"/>
      <c r="S35" s="84"/>
      <c r="T35" s="10"/>
      <c r="U35" s="247"/>
      <c r="V35" s="274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</row>
    <row r="36" spans="1:89">
      <c r="A36" s="98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97"/>
      <c r="P36" s="102"/>
      <c r="Q36" s="10"/>
      <c r="R36" s="84"/>
      <c r="S36" s="84"/>
      <c r="T36" s="10"/>
      <c r="U36" s="247"/>
      <c r="V36" s="274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</row>
    <row r="37" spans="1:89">
      <c r="A37" s="98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97"/>
      <c r="P37" s="102"/>
      <c r="Q37" s="10"/>
      <c r="R37" s="84"/>
      <c r="S37" s="84"/>
      <c r="T37" s="10"/>
      <c r="U37" s="247"/>
      <c r="V37" s="274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</row>
    <row r="38" spans="1:89">
      <c r="A38" s="98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97"/>
      <c r="P38" s="102"/>
      <c r="Q38" s="10"/>
      <c r="R38" s="84"/>
      <c r="S38" s="84"/>
      <c r="T38" s="10"/>
      <c r="U38" s="247"/>
      <c r="V38" s="274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</row>
    <row r="39" spans="1:89">
      <c r="A39" s="98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97"/>
      <c r="P39" s="102"/>
      <c r="Q39" s="10"/>
      <c r="R39" s="84"/>
      <c r="S39" s="84"/>
      <c r="T39" s="10"/>
      <c r="U39" s="247"/>
      <c r="V39" s="274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</row>
    <row r="40" spans="1:89">
      <c r="A40" s="98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97"/>
      <c r="P40" s="102"/>
      <c r="Q40" s="10"/>
      <c r="R40" s="84"/>
      <c r="S40" s="84"/>
      <c r="T40" s="10"/>
      <c r="U40" s="247"/>
      <c r="V40" s="274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</row>
    <row r="41" spans="1:89">
      <c r="A41" s="98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97"/>
      <c r="P41" s="102"/>
      <c r="Q41" s="10"/>
      <c r="R41" s="84"/>
      <c r="S41" s="84"/>
      <c r="T41" s="10"/>
      <c r="U41" s="247"/>
      <c r="V41" s="274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</row>
    <row r="42" spans="1:89">
      <c r="A42" s="98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97"/>
      <c r="P42" s="102"/>
      <c r="Q42" s="10"/>
      <c r="R42" s="84"/>
      <c r="S42" s="84"/>
      <c r="T42" s="10"/>
      <c r="U42" s="247"/>
      <c r="V42" s="274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</row>
    <row r="43" spans="1:89" ht="15.75" thickBot="1">
      <c r="A43" s="98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97"/>
      <c r="P43" s="102"/>
      <c r="Q43" s="108"/>
      <c r="R43" s="109"/>
      <c r="S43" s="109"/>
      <c r="T43" s="122"/>
      <c r="U43" s="247"/>
      <c r="V43" s="274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</row>
    <row r="44" spans="1:89" ht="15.75" thickTop="1">
      <c r="A44" s="98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97"/>
      <c r="P44" s="102"/>
      <c r="Q44" s="84"/>
      <c r="R44" s="84"/>
      <c r="S44" s="84"/>
      <c r="T44" s="10"/>
      <c r="U44" s="247"/>
      <c r="V44" s="274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</row>
    <row r="45" spans="1:89">
      <c r="A45" s="98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97"/>
      <c r="P45" s="102"/>
      <c r="Q45" s="10"/>
      <c r="R45" s="84"/>
      <c r="S45" s="84"/>
      <c r="T45" s="10"/>
      <c r="U45" s="247"/>
      <c r="V45" s="274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</row>
    <row r="46" spans="1:89">
      <c r="A46" s="98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97"/>
      <c r="P46" s="102"/>
      <c r="Q46" s="10"/>
      <c r="R46" s="84"/>
      <c r="S46" s="84"/>
      <c r="T46" s="10"/>
      <c r="U46" s="247"/>
      <c r="V46" s="274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</row>
    <row r="47" spans="1:89">
      <c r="A47" s="98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97"/>
      <c r="P47" s="102"/>
      <c r="Q47" s="10"/>
      <c r="R47" s="84"/>
      <c r="S47" s="84"/>
      <c r="T47" s="10"/>
      <c r="U47" s="247"/>
      <c r="V47" s="274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</row>
    <row r="48" spans="1:89">
      <c r="A48" s="98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97"/>
      <c r="P48" s="102"/>
      <c r="Q48" s="10"/>
      <c r="R48" s="84"/>
      <c r="S48" s="84"/>
      <c r="T48" s="10"/>
      <c r="U48" s="247"/>
      <c r="V48" s="274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</row>
    <row r="49" spans="1:89">
      <c r="A49" s="98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97"/>
      <c r="P49" s="102"/>
      <c r="Q49" s="10"/>
      <c r="R49" s="84"/>
      <c r="S49" s="84"/>
      <c r="T49" s="10"/>
      <c r="U49" s="247"/>
      <c r="V49" s="274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</row>
    <row r="50" spans="1:89">
      <c r="A50" s="98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97"/>
      <c r="P50" s="102"/>
      <c r="Q50" s="10"/>
      <c r="R50" s="84"/>
      <c r="S50" s="84"/>
      <c r="T50" s="10"/>
      <c r="U50" s="247"/>
      <c r="V50" s="274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</row>
    <row r="51" spans="1:89" ht="15.75" thickBot="1">
      <c r="A51" s="96"/>
      <c r="B51" s="96"/>
      <c r="C51" s="96"/>
      <c r="D51" s="96"/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103"/>
      <c r="P51" s="104"/>
      <c r="Q51" s="10"/>
      <c r="R51" s="84"/>
      <c r="S51" s="84"/>
      <c r="T51" s="10"/>
      <c r="U51" s="247"/>
      <c r="V51" s="274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</row>
    <row r="52" spans="1:89" ht="15" customHeight="1" thickTop="1">
      <c r="A52" s="264" t="s">
        <v>82</v>
      </c>
      <c r="B52" s="265"/>
      <c r="C52" s="265"/>
      <c r="D52" s="266"/>
      <c r="E52" s="293"/>
      <c r="F52" s="294"/>
      <c r="G52" s="299"/>
      <c r="H52" s="300"/>
      <c r="I52" s="301"/>
      <c r="J52" s="258"/>
      <c r="K52" s="258"/>
      <c r="L52" s="259"/>
      <c r="M52" s="249"/>
      <c r="N52" s="250"/>
      <c r="O52" s="251"/>
      <c r="P52" s="308" t="s">
        <v>73</v>
      </c>
      <c r="Q52" s="309"/>
      <c r="R52" s="309"/>
      <c r="S52" s="309"/>
      <c r="T52" s="310"/>
      <c r="U52" s="247"/>
      <c r="V52" s="274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</row>
    <row r="53" spans="1:89" ht="15" customHeight="1">
      <c r="A53" s="267"/>
      <c r="B53" s="268"/>
      <c r="C53" s="268"/>
      <c r="D53" s="269"/>
      <c r="E53" s="295"/>
      <c r="F53" s="296"/>
      <c r="G53" s="302"/>
      <c r="H53" s="303"/>
      <c r="I53" s="304"/>
      <c r="J53" s="260"/>
      <c r="K53" s="260"/>
      <c r="L53" s="261"/>
      <c r="M53" s="252"/>
      <c r="N53" s="253"/>
      <c r="O53" s="254"/>
      <c r="P53" s="311"/>
      <c r="Q53" s="312"/>
      <c r="R53" s="312"/>
      <c r="S53" s="312"/>
      <c r="T53" s="313"/>
      <c r="U53" s="247"/>
      <c r="V53" s="274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</row>
    <row r="54" spans="1:89" ht="15" customHeight="1" thickBot="1">
      <c r="A54" s="270"/>
      <c r="B54" s="271"/>
      <c r="C54" s="271"/>
      <c r="D54" s="272"/>
      <c r="E54" s="297"/>
      <c r="F54" s="298"/>
      <c r="G54" s="305"/>
      <c r="H54" s="306"/>
      <c r="I54" s="307"/>
      <c r="J54" s="262"/>
      <c r="K54" s="262"/>
      <c r="L54" s="263"/>
      <c r="M54" s="255"/>
      <c r="N54" s="256"/>
      <c r="O54" s="257"/>
      <c r="P54" s="314"/>
      <c r="Q54" s="315"/>
      <c r="R54" s="315"/>
      <c r="S54" s="315"/>
      <c r="T54" s="316"/>
      <c r="U54" s="292"/>
      <c r="V54" s="274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</row>
    <row r="55" spans="1:89" ht="15.75" thickTop="1">
      <c r="A55" s="283"/>
      <c r="B55" s="283"/>
      <c r="C55" s="283"/>
      <c r="D55" s="283"/>
      <c r="E55" s="283"/>
      <c r="F55" s="283"/>
      <c r="G55" s="283"/>
      <c r="H55" s="283"/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283"/>
      <c r="T55" s="283"/>
      <c r="U55" s="284"/>
      <c r="V55" s="274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</row>
    <row r="56" spans="1:89">
      <c r="A56" s="284"/>
      <c r="B56" s="284"/>
      <c r="C56" s="284"/>
      <c r="D56" s="284"/>
      <c r="E56" s="284"/>
      <c r="F56" s="284"/>
      <c r="G56" s="284"/>
      <c r="H56" s="284"/>
      <c r="I56" s="284"/>
      <c r="J56" s="284"/>
      <c r="K56" s="284"/>
      <c r="L56" s="284"/>
      <c r="M56" s="284"/>
      <c r="N56" s="284"/>
      <c r="O56" s="284"/>
      <c r="P56" s="284"/>
      <c r="Q56" s="284"/>
      <c r="R56" s="284"/>
      <c r="S56" s="284"/>
      <c r="T56" s="284"/>
      <c r="U56" s="284"/>
      <c r="V56" s="274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</row>
    <row r="57" spans="1:89" ht="15.75" thickBot="1">
      <c r="A57" s="226"/>
      <c r="B57" s="227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  <c r="N57" s="227"/>
      <c r="O57" s="227"/>
      <c r="P57" s="227"/>
      <c r="Q57" s="227"/>
      <c r="R57" s="227"/>
      <c r="S57" s="227"/>
      <c r="T57" s="227"/>
      <c r="U57" s="227"/>
      <c r="V57" s="228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</row>
    <row r="58" spans="1:89" ht="16.5" thickTop="1" thickBot="1">
      <c r="A58" s="229"/>
      <c r="B58" s="230"/>
      <c r="C58" s="230"/>
      <c r="D58" s="230"/>
      <c r="E58" s="230"/>
      <c r="F58" s="230"/>
      <c r="G58" s="230"/>
      <c r="H58" s="230"/>
      <c r="I58" s="230"/>
      <c r="J58" s="230"/>
      <c r="K58" s="230"/>
      <c r="L58" s="230"/>
      <c r="M58" s="230"/>
      <c r="N58" s="230"/>
      <c r="O58" s="230"/>
      <c r="P58" s="230"/>
      <c r="Q58" s="230"/>
      <c r="R58" s="230"/>
      <c r="S58" s="230"/>
      <c r="T58" s="230"/>
      <c r="U58" s="230"/>
      <c r="V58" s="231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</row>
    <row r="59" spans="1:89" ht="15.75" thickTop="1">
      <c r="A59" s="10"/>
      <c r="B59" s="123"/>
      <c r="C59" s="123"/>
      <c r="D59" s="124"/>
      <c r="E59" s="124"/>
      <c r="F59" s="124"/>
      <c r="G59" s="124"/>
      <c r="H59" s="124"/>
      <c r="I59" s="124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</row>
    <row r="60" spans="1:89">
      <c r="A60" s="10"/>
      <c r="B60" s="123"/>
      <c r="C60" s="123"/>
      <c r="D60" s="124"/>
      <c r="E60" s="124"/>
      <c r="F60" s="124"/>
      <c r="G60" s="124"/>
      <c r="H60" s="124"/>
      <c r="I60" s="124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</row>
    <row r="61" spans="1:89">
      <c r="A61" s="10"/>
      <c r="B61" s="123"/>
      <c r="C61" s="123"/>
      <c r="D61" s="124"/>
      <c r="E61" s="124"/>
      <c r="F61" s="124"/>
      <c r="G61" s="124"/>
      <c r="H61" s="10"/>
      <c r="I61" s="124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</row>
    <row r="62" spans="1:89">
      <c r="A62" s="10"/>
      <c r="B62" s="123"/>
      <c r="C62" s="123"/>
      <c r="D62" s="124"/>
      <c r="E62" s="124"/>
      <c r="F62" s="124"/>
      <c r="G62" s="124"/>
      <c r="H62" s="124"/>
      <c r="I62" s="124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</row>
    <row r="63" spans="1:89">
      <c r="A63" s="10"/>
      <c r="B63" s="123"/>
      <c r="C63" s="123"/>
      <c r="D63" s="124"/>
      <c r="E63" s="124"/>
      <c r="F63" s="10"/>
      <c r="G63" s="124"/>
      <c r="H63" s="10"/>
      <c r="I63" s="124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</row>
    <row r="64" spans="1:89">
      <c r="A64" s="10"/>
      <c r="B64" s="123"/>
      <c r="C64" s="123"/>
      <c r="D64" s="124"/>
      <c r="E64" s="124"/>
      <c r="F64" s="124"/>
      <c r="G64" s="124"/>
      <c r="H64" s="124"/>
      <c r="I64" s="124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</row>
    <row r="65" spans="1:89">
      <c r="A65" s="10"/>
      <c r="B65" s="123"/>
      <c r="C65" s="123"/>
      <c r="D65" s="124"/>
      <c r="E65" s="124"/>
      <c r="F65" s="124"/>
      <c r="G65" s="124"/>
      <c r="H65" s="124"/>
      <c r="I65" s="124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</row>
    <row r="66" spans="1:89">
      <c r="A66" s="10"/>
      <c r="B66" s="123"/>
      <c r="C66" s="123"/>
      <c r="D66" s="10"/>
      <c r="E66" s="124"/>
      <c r="F66" s="124"/>
      <c r="G66" s="124"/>
      <c r="H66" s="124"/>
      <c r="I66" s="124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</row>
    <row r="67" spans="1:89">
      <c r="A67" s="10"/>
      <c r="B67" s="123"/>
      <c r="C67" s="123"/>
      <c r="D67" s="124"/>
      <c r="E67" s="124"/>
      <c r="F67" s="124"/>
      <c r="G67" s="124"/>
      <c r="H67" s="124"/>
      <c r="I67" s="124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</row>
    <row r="68" spans="1:89">
      <c r="A68" s="10"/>
      <c r="B68" s="123"/>
      <c r="C68" s="123"/>
      <c r="D68" s="124"/>
      <c r="E68" s="124"/>
      <c r="F68" s="124"/>
      <c r="G68" s="124"/>
      <c r="H68" s="10"/>
      <c r="I68" s="124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</row>
    <row r="69" spans="1:89">
      <c r="A69" s="10"/>
      <c r="B69" s="123"/>
      <c r="C69" s="123"/>
      <c r="D69" s="124"/>
      <c r="E69" s="124"/>
      <c r="F69" s="124"/>
      <c r="G69" s="124"/>
      <c r="H69" s="124"/>
      <c r="I69" s="124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</row>
    <row r="70" spans="1:89">
      <c r="A70" s="10"/>
      <c r="B70" s="123"/>
      <c r="C70" s="123"/>
      <c r="D70" s="124"/>
      <c r="E70" s="124"/>
      <c r="F70" s="124"/>
      <c r="G70" s="124"/>
      <c r="H70" s="124"/>
      <c r="I70" s="124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</row>
    <row r="71" spans="1:89">
      <c r="A71" s="10"/>
      <c r="B71" s="123"/>
      <c r="C71" s="123"/>
      <c r="D71" s="124"/>
      <c r="E71" s="124"/>
      <c r="F71" s="124"/>
      <c r="G71" s="124"/>
      <c r="H71" s="124"/>
      <c r="I71" s="124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</row>
    <row r="72" spans="1:89">
      <c r="A72" s="10"/>
      <c r="B72" s="123"/>
      <c r="C72" s="123"/>
      <c r="D72" s="124"/>
      <c r="E72" s="124"/>
      <c r="F72" s="124"/>
      <c r="G72" s="124"/>
      <c r="H72" s="124"/>
      <c r="I72" s="124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</row>
    <row r="73" spans="1:89">
      <c r="A73" s="10"/>
      <c r="B73" s="123"/>
      <c r="C73" s="123"/>
      <c r="D73" s="124"/>
      <c r="E73" s="124"/>
      <c r="F73" s="124"/>
      <c r="G73" s="124"/>
      <c r="H73" s="124"/>
      <c r="I73" s="124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</row>
    <row r="74" spans="1:89">
      <c r="A74" s="10"/>
      <c r="B74" s="123"/>
      <c r="C74" s="123"/>
      <c r="D74" s="124"/>
      <c r="E74" s="124"/>
      <c r="F74" s="124"/>
      <c r="G74" s="124"/>
      <c r="H74" s="124"/>
      <c r="I74" s="124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</row>
    <row r="75" spans="1:89">
      <c r="A75" s="10"/>
      <c r="B75" s="123"/>
      <c r="C75" s="123"/>
      <c r="D75" s="124"/>
      <c r="E75" s="124"/>
      <c r="F75" s="124"/>
      <c r="G75" s="124"/>
      <c r="H75" s="124"/>
      <c r="I75" s="124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</row>
    <row r="76" spans="1:89">
      <c r="A76" s="10"/>
      <c r="B76" s="123"/>
      <c r="C76" s="123"/>
      <c r="D76" s="124"/>
      <c r="E76" s="124"/>
      <c r="F76" s="124"/>
      <c r="G76" s="124"/>
      <c r="H76" s="124"/>
      <c r="I76" s="124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</row>
    <row r="77" spans="1:89">
      <c r="A77" s="10"/>
      <c r="B77" s="123"/>
      <c r="C77" s="123"/>
      <c r="D77" s="124"/>
      <c r="E77" s="124"/>
      <c r="F77" s="124"/>
      <c r="G77" s="124"/>
      <c r="H77" s="124"/>
      <c r="I77" s="124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</row>
    <row r="78" spans="1:89">
      <c r="A78" s="10"/>
      <c r="B78" s="123"/>
      <c r="C78" s="123"/>
      <c r="D78" s="124"/>
      <c r="E78" s="124"/>
      <c r="F78" s="124"/>
      <c r="G78" s="124"/>
      <c r="H78" s="124"/>
      <c r="I78" s="124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</row>
    <row r="79" spans="1:89">
      <c r="A79" s="10"/>
      <c r="B79" s="123"/>
      <c r="C79" s="123"/>
      <c r="D79" s="124"/>
      <c r="E79" s="124"/>
      <c r="F79" s="124"/>
      <c r="G79" s="124"/>
      <c r="H79" s="124"/>
      <c r="I79" s="124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</row>
    <row r="80" spans="1:89">
      <c r="A80" s="10"/>
      <c r="B80" s="123"/>
      <c r="C80" s="123"/>
      <c r="D80" s="124"/>
      <c r="E80" s="124"/>
      <c r="F80" s="124"/>
      <c r="G80" s="124"/>
      <c r="H80" s="124"/>
      <c r="I80" s="124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</row>
    <row r="81" spans="1:89">
      <c r="A81" s="10"/>
      <c r="B81" s="123"/>
      <c r="C81" s="123"/>
      <c r="D81" s="124"/>
      <c r="E81" s="124"/>
      <c r="F81" s="124"/>
      <c r="G81" s="124"/>
      <c r="H81" s="124"/>
      <c r="I81" s="124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</row>
    <row r="82" spans="1:89">
      <c r="A82" s="10"/>
      <c r="B82" s="123"/>
      <c r="C82" s="123"/>
      <c r="D82" s="124"/>
      <c r="E82" s="124"/>
      <c r="F82" s="124"/>
      <c r="G82" s="124"/>
      <c r="H82" s="124"/>
      <c r="I82" s="124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</row>
    <row r="83" spans="1:89">
      <c r="A83" s="10"/>
      <c r="B83" s="123"/>
      <c r="C83" s="123"/>
      <c r="D83" s="124"/>
      <c r="E83" s="124"/>
      <c r="F83" s="124"/>
      <c r="G83" s="124"/>
      <c r="H83" s="124"/>
      <c r="I83" s="124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</row>
    <row r="84" spans="1:89">
      <c r="A84" s="10"/>
      <c r="B84" s="123"/>
      <c r="C84" s="123"/>
      <c r="D84" s="124"/>
      <c r="E84" s="124"/>
      <c r="F84" s="124"/>
      <c r="G84" s="124"/>
      <c r="H84" s="124"/>
      <c r="I84" s="124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</row>
    <row r="85" spans="1:89">
      <c r="A85" s="10"/>
      <c r="B85" s="123"/>
      <c r="C85" s="123"/>
      <c r="D85" s="124"/>
      <c r="E85" s="124"/>
      <c r="F85" s="124"/>
      <c r="G85" s="124"/>
      <c r="H85" s="124"/>
      <c r="I85" s="124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</row>
    <row r="86" spans="1:89">
      <c r="A86" s="10"/>
      <c r="B86" s="123"/>
      <c r="C86" s="123"/>
      <c r="D86" s="124"/>
      <c r="E86" s="124"/>
      <c r="F86" s="124"/>
      <c r="G86" s="124"/>
      <c r="H86" s="124"/>
      <c r="I86" s="124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</row>
    <row r="87" spans="1:89">
      <c r="A87" s="10"/>
      <c r="B87" s="123"/>
      <c r="C87" s="123"/>
      <c r="D87" s="124"/>
      <c r="E87" s="124"/>
      <c r="F87" s="124"/>
      <c r="G87" s="124"/>
      <c r="H87" s="124"/>
      <c r="I87" s="124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</row>
  </sheetData>
  <mergeCells count="29">
    <mergeCell ref="I15:K15"/>
    <mergeCell ref="U2:U54"/>
    <mergeCell ref="E52:F54"/>
    <mergeCell ref="G52:I54"/>
    <mergeCell ref="P52:T54"/>
    <mergeCell ref="Q2:T3"/>
    <mergeCell ref="A16:H19"/>
    <mergeCell ref="I16:K17"/>
    <mergeCell ref="I18:K19"/>
    <mergeCell ref="I21:K22"/>
    <mergeCell ref="I23:K24"/>
    <mergeCell ref="I25:K26"/>
    <mergeCell ref="I27:K28"/>
    <mergeCell ref="I29:K30"/>
    <mergeCell ref="A57:V58"/>
    <mergeCell ref="A22:C22"/>
    <mergeCell ref="D20:F22"/>
    <mergeCell ref="A21:C21"/>
    <mergeCell ref="A20:C20"/>
    <mergeCell ref="H20:H22"/>
    <mergeCell ref="M52:O54"/>
    <mergeCell ref="J52:L54"/>
    <mergeCell ref="A52:D54"/>
    <mergeCell ref="V2:V56"/>
    <mergeCell ref="Q4:T9"/>
    <mergeCell ref="Q10:T12"/>
    <mergeCell ref="Q13:T14"/>
    <mergeCell ref="A55:U56"/>
    <mergeCell ref="G20:G22"/>
  </mergeCells>
  <phoneticPr fontId="24" type="noConversion"/>
  <conditionalFormatting sqref="A4:A14">
    <cfRule type="expression" dxfId="10" priority="7">
      <formula>$B4=""</formula>
    </cfRule>
  </conditionalFormatting>
  <conditionalFormatting sqref="C3:C14">
    <cfRule type="expression" dxfId="9" priority="8">
      <formula>$B3=""</formula>
    </cfRule>
  </conditionalFormatting>
  <conditionalFormatting sqref="G4:G14">
    <cfRule type="expression" dxfId="8" priority="9">
      <formula>$F4=""</formula>
    </cfRule>
  </conditionalFormatting>
  <conditionalFormatting sqref="H3:H14">
    <cfRule type="expression" dxfId="7" priority="6">
      <formula>$F3=""</formula>
    </cfRule>
  </conditionalFormatting>
  <conditionalFormatting sqref="I3:I14">
    <cfRule type="expression" dxfId="6" priority="5">
      <formula>$H3=0</formula>
    </cfRule>
  </conditionalFormatting>
  <conditionalFormatting sqref="I4:I14">
    <cfRule type="expression" dxfId="5" priority="4">
      <formula>$F$4=""</formula>
    </cfRule>
  </conditionalFormatting>
  <conditionalFormatting sqref="I5:I14">
    <cfRule type="expression" dxfId="4" priority="2">
      <formula>$F5=""</formula>
    </cfRule>
  </conditionalFormatting>
  <conditionalFormatting sqref="K4:K14">
    <cfRule type="expression" dxfId="3" priority="1">
      <formula>$L4=""</formula>
    </cfRule>
  </conditionalFormatting>
  <conditionalFormatting sqref="N3:N14">
    <cfRule type="expression" dxfId="2" priority="3">
      <formula>$L3=""</formula>
    </cfRule>
  </conditionalFormatting>
  <conditionalFormatting sqref="O3:P14">
    <cfRule type="expression" dxfId="1" priority="10">
      <formula>$M3=""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el_all">
                <anchor moveWithCells="1" sizeWithCells="1">
                  <from>
                    <xdr:col>3</xdr:col>
                    <xdr:colOff>676275</xdr:colOff>
                    <xdr:row>16</xdr:row>
                    <xdr:rowOff>66675</xdr:rowOff>
                  </from>
                  <to>
                    <xdr:col>4</xdr:col>
                    <xdr:colOff>828675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next_sheets">
                <anchor moveWithCells="1" sizeWithCells="1">
                  <from>
                    <xdr:col>0</xdr:col>
                    <xdr:colOff>714375</xdr:colOff>
                    <xdr:row>16</xdr:row>
                    <xdr:rowOff>66675</xdr:rowOff>
                  </from>
                  <to>
                    <xdr:col>1</xdr:col>
                    <xdr:colOff>742950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back_sheets">
                <anchor moveWithCells="1" sizeWithCells="1">
                  <from>
                    <xdr:col>2</xdr:col>
                    <xdr:colOff>38100</xdr:colOff>
                    <xdr:row>16</xdr:row>
                    <xdr:rowOff>66675</xdr:rowOff>
                  </from>
                  <to>
                    <xdr:col>3</xdr:col>
                    <xdr:colOff>361950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_xludf.save">
                <anchor moveWithCells="1" sizeWithCells="1">
                  <from>
                    <xdr:col>4</xdr:col>
                    <xdr:colOff>1133475</xdr:colOff>
                    <xdr:row>16</xdr:row>
                    <xdr:rowOff>66675</xdr:rowOff>
                  </from>
                  <to>
                    <xdr:col>5</xdr:col>
                    <xdr:colOff>981075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save_exit">
                <anchor moveWithCells="1" sizeWithCells="1">
                  <from>
                    <xdr:col>5</xdr:col>
                    <xdr:colOff>1285875</xdr:colOff>
                    <xdr:row>16</xdr:row>
                    <xdr:rowOff>66675</xdr:rowOff>
                  </from>
                  <to>
                    <xdr:col>7</xdr:col>
                    <xdr:colOff>142875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9628FB-8AA6-4A6A-9730-EDC86C6B1693}">
          <x14:formula1>
            <xm:f>PODSUMOWANIE!$A$17:$A$21</xm:f>
          </x14:formula1>
          <xm:sqref>A15</xm:sqref>
        </x14:dataValidation>
        <x14:dataValidation type="list" allowBlank="1" showInputMessage="1" showErrorMessage="1" xr:uid="{7A06B860-9FA3-487F-8858-5E6341FF95F8}">
          <x14:formula1>
            <xm:f>PODSUMOWANIE!$B$18:$B$20</xm:f>
          </x14:formula1>
          <xm:sqref>L3:L14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55718-FC49-4B3F-B4C0-CF13C1F9DB99}">
  <sheetPr codeName="Arkusz2"/>
  <dimension ref="A1:AF36"/>
  <sheetViews>
    <sheetView zoomScaleNormal="100" workbookViewId="0">
      <selection activeCell="N9" sqref="N9"/>
    </sheetView>
  </sheetViews>
  <sheetFormatPr defaultRowHeight="15"/>
  <cols>
    <col min="1" max="1" width="33.42578125" customWidth="1"/>
    <col min="2" max="3" width="13.42578125" bestFit="1" customWidth="1"/>
    <col min="4" max="4" width="13.42578125" customWidth="1"/>
    <col min="5" max="5" width="12.140625" customWidth="1"/>
    <col min="6" max="6" width="16" bestFit="1" customWidth="1"/>
    <col min="7" max="7" width="17.7109375" customWidth="1"/>
    <col min="10" max="10" width="22.7109375" customWidth="1"/>
    <col min="11" max="11" width="23.140625" bestFit="1" customWidth="1"/>
    <col min="13" max="13" width="12.85546875" customWidth="1"/>
    <col min="14" max="14" width="13.42578125" customWidth="1"/>
    <col min="16" max="16" width="27.7109375" customWidth="1"/>
    <col min="21" max="21" width="27.7109375" customWidth="1"/>
    <col min="22" max="22" width="10" bestFit="1" customWidth="1"/>
    <col min="24" max="24" width="27.7109375" customWidth="1"/>
    <col min="26" max="26" width="10.140625" bestFit="1" customWidth="1"/>
  </cols>
  <sheetData>
    <row r="1" spans="1:32" ht="37.5" thickTop="1" thickBot="1">
      <c r="A1" s="156">
        <v>45261</v>
      </c>
      <c r="B1" s="366" t="s">
        <v>19</v>
      </c>
      <c r="C1" s="366" t="s">
        <v>20</v>
      </c>
      <c r="D1" s="368" t="s">
        <v>31</v>
      </c>
      <c r="E1" s="125" t="s">
        <v>34</v>
      </c>
      <c r="F1" s="366" t="s">
        <v>22</v>
      </c>
      <c r="G1" s="370" t="s">
        <v>37</v>
      </c>
      <c r="H1" s="126"/>
      <c r="I1" s="126"/>
      <c r="J1" s="356" t="s">
        <v>29</v>
      </c>
      <c r="K1" s="357"/>
      <c r="L1" s="127"/>
      <c r="M1" s="155" t="s">
        <v>83</v>
      </c>
      <c r="N1" s="155" t="s">
        <v>84</v>
      </c>
      <c r="O1" s="363" t="s">
        <v>68</v>
      </c>
      <c r="P1" s="358"/>
      <c r="Q1" s="359"/>
      <c r="R1" s="359"/>
      <c r="S1" s="359"/>
      <c r="T1" s="359"/>
      <c r="U1" s="360"/>
      <c r="V1" s="8"/>
      <c r="W1" s="8"/>
      <c r="X1" s="8"/>
      <c r="Y1" s="8"/>
      <c r="Z1" s="83"/>
      <c r="AA1" s="8"/>
      <c r="AB1" s="8"/>
      <c r="AC1" s="8"/>
      <c r="AD1" s="8"/>
      <c r="AE1" s="8"/>
      <c r="AF1" s="8"/>
    </row>
    <row r="2" spans="1:32" ht="17.25" thickTop="1" thickBot="1">
      <c r="A2" s="128" t="s">
        <v>35</v>
      </c>
      <c r="B2" s="367"/>
      <c r="C2" s="367"/>
      <c r="D2" s="369"/>
      <c r="E2" s="36">
        <v>136.31</v>
      </c>
      <c r="F2" s="367"/>
      <c r="G2" s="371"/>
      <c r="H2" s="10"/>
      <c r="I2" s="10"/>
      <c r="J2" s="39">
        <f>6-COUNTBLANK(K3:K8)</f>
        <v>3</v>
      </c>
      <c r="K2" s="35" t="s">
        <v>43</v>
      </c>
      <c r="L2" s="11"/>
      <c r="M2" s="157">
        <v>44927</v>
      </c>
      <c r="N2" s="158">
        <v>136.31</v>
      </c>
      <c r="O2" s="364"/>
      <c r="P2" s="330"/>
      <c r="Q2" s="284"/>
      <c r="R2" s="284"/>
      <c r="S2" s="284"/>
      <c r="T2" s="284"/>
      <c r="U2" s="361"/>
      <c r="V2" s="8"/>
      <c r="W2" s="8"/>
      <c r="X2" s="8"/>
      <c r="Y2" s="8"/>
      <c r="Z2" s="82"/>
      <c r="AA2" s="8"/>
      <c r="AB2" s="8"/>
      <c r="AC2" s="8"/>
      <c r="AD2" s="8"/>
      <c r="AE2" s="8"/>
      <c r="AF2" s="8"/>
    </row>
    <row r="3" spans="1:32" ht="17.25" thickTop="1" thickBot="1">
      <c r="A3" s="129" t="s">
        <v>40</v>
      </c>
      <c r="B3" s="26">
        <v>3.3</v>
      </c>
      <c r="C3" s="26">
        <v>3.89</v>
      </c>
      <c r="D3" s="26">
        <v>5.25</v>
      </c>
      <c r="E3" s="27">
        <v>5.88</v>
      </c>
      <c r="F3" s="29" t="s">
        <v>70</v>
      </c>
      <c r="G3" s="32">
        <v>1000</v>
      </c>
      <c r="H3" s="10"/>
      <c r="I3" s="10"/>
      <c r="J3" s="15" t="s">
        <v>23</v>
      </c>
      <c r="K3" s="23">
        <v>10.15</v>
      </c>
      <c r="L3" s="11"/>
      <c r="M3" s="157">
        <v>44986</v>
      </c>
      <c r="N3" s="158">
        <v>149.06</v>
      </c>
      <c r="O3" s="364"/>
      <c r="P3" s="330"/>
      <c r="Q3" s="284"/>
      <c r="R3" s="284"/>
      <c r="S3" s="284"/>
      <c r="T3" s="284"/>
      <c r="U3" s="361"/>
      <c r="V3" s="8"/>
      <c r="W3" s="8"/>
      <c r="X3" s="8"/>
      <c r="Y3" s="8"/>
      <c r="Z3" s="8"/>
      <c r="AA3" s="8"/>
      <c r="AB3" s="8"/>
      <c r="AC3" s="8"/>
      <c r="AD3" s="8"/>
      <c r="AE3" s="8"/>
      <c r="AF3" s="8"/>
    </row>
    <row r="4" spans="1:32" ht="17.25" thickTop="1" thickBot="1">
      <c r="A4" s="129" t="s">
        <v>41</v>
      </c>
      <c r="B4" s="14">
        <v>3.5630000000000002</v>
      </c>
      <c r="C4" s="14">
        <v>7.4370000000000003</v>
      </c>
      <c r="D4" s="14">
        <v>3.5630000000000002</v>
      </c>
      <c r="E4" s="28">
        <v>7.4370000000000003</v>
      </c>
      <c r="F4" s="30" t="s">
        <v>71</v>
      </c>
      <c r="G4" s="33">
        <v>1011</v>
      </c>
      <c r="H4" s="10"/>
      <c r="I4" s="10"/>
      <c r="J4" s="16" t="s">
        <v>24</v>
      </c>
      <c r="K4" s="24">
        <v>8.89</v>
      </c>
      <c r="L4" s="11"/>
      <c r="M4" s="157">
        <v>45078</v>
      </c>
      <c r="N4" s="158">
        <v>162.82</v>
      </c>
      <c r="O4" s="364"/>
      <c r="P4" s="330"/>
      <c r="Q4" s="284"/>
      <c r="R4" s="284"/>
      <c r="S4" s="284"/>
      <c r="T4" s="284"/>
      <c r="U4" s="361"/>
      <c r="V4" s="8"/>
      <c r="W4" s="8"/>
      <c r="X4" s="8"/>
      <c r="Y4" s="8"/>
      <c r="Z4" s="8"/>
      <c r="AA4" s="8"/>
      <c r="AB4" s="8"/>
      <c r="AC4" s="8"/>
      <c r="AD4" s="8"/>
      <c r="AE4" s="8"/>
      <c r="AF4" s="8"/>
    </row>
    <row r="5" spans="1:32" ht="17.25" thickTop="1" thickBot="1">
      <c r="A5" s="130" t="s">
        <v>33</v>
      </c>
      <c r="B5" s="131"/>
      <c r="C5" s="131"/>
      <c r="D5" s="131"/>
      <c r="E5" s="152">
        <v>24.93</v>
      </c>
      <c r="F5" s="31" t="s">
        <v>72</v>
      </c>
      <c r="G5" s="40">
        <f>(G4-G3)</f>
        <v>11</v>
      </c>
      <c r="H5" s="10"/>
      <c r="I5" s="10"/>
      <c r="J5" s="16" t="s">
        <v>25</v>
      </c>
      <c r="K5" s="24">
        <v>5.89</v>
      </c>
      <c r="L5" s="11"/>
      <c r="M5" s="157">
        <v>45170</v>
      </c>
      <c r="N5" s="158">
        <v>148.28</v>
      </c>
      <c r="O5" s="364"/>
      <c r="P5" s="330"/>
      <c r="Q5" s="284"/>
      <c r="R5" s="284"/>
      <c r="S5" s="284"/>
      <c r="T5" s="284"/>
      <c r="U5" s="361"/>
      <c r="V5" s="8"/>
      <c r="W5" s="8"/>
      <c r="X5" s="8"/>
      <c r="Y5" s="8"/>
      <c r="Z5" s="8"/>
      <c r="AA5" s="8"/>
      <c r="AB5" s="8"/>
      <c r="AC5" s="8"/>
      <c r="AD5" s="8"/>
      <c r="AE5" s="8"/>
      <c r="AF5" s="8"/>
    </row>
    <row r="6" spans="1:32" ht="17.25" customHeight="1" thickTop="1" thickBot="1">
      <c r="A6" s="129" t="s">
        <v>52</v>
      </c>
      <c r="B6" s="351">
        <f>((B3*B4)+(C3*C4))+((D3*D4)+(E3*E4))</f>
        <v>103.12314000000001</v>
      </c>
      <c r="C6" s="352"/>
      <c r="D6" s="352"/>
      <c r="E6" s="353"/>
      <c r="F6" s="339"/>
      <c r="G6" s="341"/>
      <c r="H6" s="10"/>
      <c r="I6" s="10"/>
      <c r="J6" s="16" t="s">
        <v>26</v>
      </c>
      <c r="K6" s="24"/>
      <c r="L6" s="11"/>
      <c r="M6" s="157">
        <v>45261</v>
      </c>
      <c r="N6" s="158">
        <v>136.31</v>
      </c>
      <c r="O6" s="364"/>
      <c r="P6" s="330"/>
      <c r="Q6" s="284"/>
      <c r="R6" s="284"/>
      <c r="S6" s="284"/>
      <c r="T6" s="284"/>
      <c r="U6" s="361"/>
      <c r="V6" s="8"/>
      <c r="W6" s="8"/>
      <c r="X6" s="8"/>
      <c r="Y6" s="8"/>
      <c r="Z6" s="8"/>
      <c r="AA6" s="8"/>
      <c r="AB6" s="8"/>
      <c r="AC6" s="8"/>
      <c r="AD6" s="8"/>
      <c r="AE6" s="8"/>
      <c r="AF6" s="8"/>
    </row>
    <row r="7" spans="1:32" ht="16.5" thickTop="1" thickBot="1">
      <c r="A7" s="129" t="s">
        <v>32</v>
      </c>
      <c r="B7" s="348">
        <v>0.08</v>
      </c>
      <c r="C7" s="349"/>
      <c r="D7" s="349"/>
      <c r="E7" s="350"/>
      <c r="F7" s="339"/>
      <c r="G7" s="342"/>
      <c r="H7" s="10"/>
      <c r="I7" s="10"/>
      <c r="J7" s="16" t="s">
        <v>27</v>
      </c>
      <c r="K7" s="24"/>
      <c r="L7" s="11"/>
      <c r="M7" s="157"/>
      <c r="N7" s="158"/>
      <c r="O7" s="364"/>
      <c r="P7" s="330"/>
      <c r="Q7" s="284"/>
      <c r="R7" s="284"/>
      <c r="S7" s="284"/>
      <c r="T7" s="284"/>
      <c r="U7" s="361"/>
      <c r="V7" s="8"/>
      <c r="W7" s="8"/>
      <c r="X7" s="8"/>
      <c r="Y7" s="8"/>
      <c r="Z7" s="8"/>
      <c r="AA7" s="8"/>
      <c r="AB7" s="8"/>
      <c r="AC7" s="8"/>
      <c r="AD7" s="8"/>
      <c r="AE7" s="8"/>
      <c r="AF7" s="8"/>
    </row>
    <row r="8" spans="1:32" ht="16.5" thickTop="1" thickBot="1">
      <c r="A8" s="129" t="s">
        <v>51</v>
      </c>
      <c r="B8" s="345">
        <f>(B6*B7)+B6+E5</f>
        <v>136.30299120000001</v>
      </c>
      <c r="C8" s="346"/>
      <c r="D8" s="346"/>
      <c r="E8" s="347"/>
      <c r="F8" s="339"/>
      <c r="G8" s="342"/>
      <c r="H8" s="10"/>
      <c r="I8" s="10"/>
      <c r="J8" s="17" t="s">
        <v>30</v>
      </c>
      <c r="K8" s="25"/>
      <c r="L8" s="11"/>
      <c r="M8" s="157"/>
      <c r="N8" s="158"/>
      <c r="O8" s="364"/>
      <c r="P8" s="330"/>
      <c r="Q8" s="284"/>
      <c r="R8" s="284"/>
      <c r="S8" s="284"/>
      <c r="T8" s="284"/>
      <c r="U8" s="361"/>
      <c r="V8" s="8"/>
      <c r="W8" s="8"/>
      <c r="X8" s="8"/>
      <c r="Y8" s="8"/>
      <c r="Z8" s="8"/>
      <c r="AA8" s="8"/>
      <c r="AB8" s="8"/>
      <c r="AC8" s="8"/>
      <c r="AD8" s="8"/>
      <c r="AE8" s="8"/>
      <c r="AF8" s="8"/>
    </row>
    <row r="9" spans="1:32" ht="17.25" thickTop="1" thickBot="1">
      <c r="A9" s="129" t="s">
        <v>21</v>
      </c>
      <c r="B9" s="34">
        <f>B4*1000</f>
        <v>3563</v>
      </c>
      <c r="C9" s="34">
        <f>C4*1000</f>
        <v>7437</v>
      </c>
      <c r="D9" s="34">
        <f>B9</f>
        <v>3563</v>
      </c>
      <c r="E9" s="34">
        <f>C9</f>
        <v>7437</v>
      </c>
      <c r="F9" s="339"/>
      <c r="G9" s="342"/>
      <c r="H9" s="10"/>
      <c r="I9" s="10"/>
      <c r="J9" s="18" t="s">
        <v>28</v>
      </c>
      <c r="K9" s="22">
        <f>SUM(K3:K8)</f>
        <v>24.93</v>
      </c>
      <c r="L9" s="11"/>
      <c r="M9" s="157"/>
      <c r="N9" s="158"/>
      <c r="O9" s="364"/>
      <c r="P9" s="330"/>
      <c r="Q9" s="284"/>
      <c r="R9" s="284"/>
      <c r="S9" s="284"/>
      <c r="T9" s="284"/>
      <c r="U9" s="361"/>
      <c r="V9" s="8"/>
      <c r="W9" s="8"/>
      <c r="X9" s="8"/>
      <c r="Y9" s="8"/>
      <c r="Z9" s="8"/>
      <c r="AA9" s="8"/>
      <c r="AB9" s="8"/>
      <c r="AC9" s="8"/>
      <c r="AD9" s="8"/>
      <c r="AE9" s="8"/>
      <c r="AF9" s="8"/>
    </row>
    <row r="10" spans="1:32" ht="16.5" thickTop="1" thickBot="1">
      <c r="A10" s="129" t="s">
        <v>42</v>
      </c>
      <c r="B10" s="337">
        <f>(B4+C4)</f>
        <v>11</v>
      </c>
      <c r="C10" s="338"/>
      <c r="D10" s="337">
        <f>(D4+E4)</f>
        <v>11</v>
      </c>
      <c r="E10" s="338"/>
      <c r="F10" s="339"/>
      <c r="G10" s="342"/>
      <c r="H10" s="10"/>
      <c r="I10" s="10"/>
      <c r="J10" s="354" t="s">
        <v>39</v>
      </c>
      <c r="K10" s="355"/>
      <c r="L10" s="11"/>
      <c r="M10" s="157"/>
      <c r="N10" s="158"/>
      <c r="O10" s="364"/>
      <c r="P10" s="330"/>
      <c r="Q10" s="284"/>
      <c r="R10" s="284"/>
      <c r="S10" s="284"/>
      <c r="T10" s="284"/>
      <c r="U10" s="361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</row>
    <row r="11" spans="1:32" ht="16.5" thickTop="1" thickBot="1">
      <c r="A11" s="132" t="s">
        <v>36</v>
      </c>
      <c r="B11" s="344">
        <f>B8-E2</f>
        <v>-7.008799999994153E-3</v>
      </c>
      <c r="C11" s="344"/>
      <c r="D11" s="344"/>
      <c r="E11" s="344"/>
      <c r="F11" s="340"/>
      <c r="G11" s="343"/>
      <c r="H11" s="10"/>
      <c r="I11" s="10"/>
      <c r="J11" s="19"/>
      <c r="K11" s="10" t="s">
        <v>38</v>
      </c>
      <c r="L11" s="11"/>
      <c r="M11" s="157"/>
      <c r="N11" s="158"/>
      <c r="O11" s="364"/>
      <c r="P11" s="330"/>
      <c r="Q11" s="284"/>
      <c r="R11" s="284"/>
      <c r="S11" s="284"/>
      <c r="T11" s="284"/>
      <c r="U11" s="361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</row>
    <row r="12" spans="1:32" ht="16.5" thickTop="1" thickBot="1">
      <c r="A12" s="133"/>
      <c r="B12" s="37"/>
      <c r="C12" s="37"/>
      <c r="D12" s="37"/>
      <c r="E12" s="37"/>
      <c r="F12" s="37"/>
      <c r="G12" s="38"/>
      <c r="H12" s="10"/>
      <c r="I12" s="10"/>
      <c r="J12" s="20"/>
      <c r="K12" s="10"/>
      <c r="L12" s="11"/>
      <c r="M12" s="157"/>
      <c r="N12" s="158"/>
      <c r="O12" s="364"/>
      <c r="P12" s="330"/>
      <c r="Q12" s="284"/>
      <c r="R12" s="284"/>
      <c r="S12" s="284"/>
      <c r="T12" s="284"/>
      <c r="U12" s="361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</row>
    <row r="13" spans="1:32" ht="16.5" thickTop="1" thickBot="1">
      <c r="A13" s="134"/>
      <c r="B13" s="10"/>
      <c r="C13" s="10"/>
      <c r="D13" s="10"/>
      <c r="E13" s="10"/>
      <c r="F13" s="10"/>
      <c r="G13" s="11"/>
      <c r="H13" s="10"/>
      <c r="I13" s="10"/>
      <c r="J13" s="21"/>
      <c r="K13" s="10"/>
      <c r="L13" s="11"/>
      <c r="M13" s="157"/>
      <c r="N13" s="158"/>
      <c r="O13" s="364"/>
      <c r="P13" s="330"/>
      <c r="Q13" s="284"/>
      <c r="R13" s="284"/>
      <c r="S13" s="284"/>
      <c r="T13" s="284"/>
      <c r="U13" s="361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</row>
    <row r="14" spans="1:32" ht="20.25" thickTop="1" thickBot="1">
      <c r="A14" s="134"/>
      <c r="B14" s="10"/>
      <c r="C14" s="10"/>
      <c r="D14" s="10"/>
      <c r="E14" s="10"/>
      <c r="F14" s="10"/>
      <c r="G14" s="11"/>
      <c r="H14" s="10"/>
      <c r="I14" s="10" t="s">
        <v>38</v>
      </c>
      <c r="J14" s="10"/>
      <c r="K14" s="10"/>
      <c r="L14" s="11"/>
      <c r="M14" s="153" t="s">
        <v>69</v>
      </c>
      <c r="N14" s="154">
        <f>SUM(N2:N13)</f>
        <v>732.78</v>
      </c>
      <c r="O14" s="365"/>
      <c r="P14" s="331"/>
      <c r="Q14" s="332"/>
      <c r="R14" s="332"/>
      <c r="S14" s="332"/>
      <c r="T14" s="332"/>
      <c r="U14" s="362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</row>
    <row r="15" spans="1:32" ht="16.5" customHeight="1" thickTop="1" thickBot="1">
      <c r="A15" s="135"/>
      <c r="B15" s="12"/>
      <c r="C15" s="12"/>
      <c r="D15" s="12"/>
      <c r="E15" s="12"/>
      <c r="F15" s="12"/>
      <c r="G15" s="13"/>
      <c r="H15" s="10"/>
      <c r="I15" s="10"/>
      <c r="J15" s="10"/>
      <c r="K15" s="10"/>
      <c r="L15" s="11"/>
      <c r="M15" s="80"/>
      <c r="N15" s="81"/>
      <c r="O15" s="136"/>
      <c r="P15" s="164"/>
      <c r="Q15" s="335" t="s">
        <v>67</v>
      </c>
      <c r="R15" s="335"/>
      <c r="S15" s="335"/>
      <c r="T15" s="335"/>
      <c r="U15" s="165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</row>
    <row r="16" spans="1:32" ht="15.75" thickTop="1">
      <c r="A16" s="328"/>
      <c r="B16" s="329"/>
      <c r="C16" s="329"/>
      <c r="D16" s="329"/>
      <c r="E16" s="329"/>
      <c r="F16" s="329"/>
      <c r="G16" s="329"/>
      <c r="H16" s="10"/>
      <c r="I16" s="10"/>
      <c r="J16" s="10"/>
      <c r="K16" s="10"/>
      <c r="L16" s="11"/>
      <c r="M16" s="9"/>
      <c r="N16" s="10"/>
      <c r="O16" s="137"/>
      <c r="P16" s="164"/>
      <c r="Q16" s="336"/>
      <c r="R16" s="336"/>
      <c r="S16" s="336"/>
      <c r="T16" s="336"/>
      <c r="U16" s="16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</row>
    <row r="17" spans="1:32">
      <c r="A17" s="330"/>
      <c r="B17" s="284"/>
      <c r="C17" s="284"/>
      <c r="D17" s="284"/>
      <c r="E17" s="284"/>
      <c r="F17" s="284"/>
      <c r="G17" s="284"/>
      <c r="H17" s="10"/>
      <c r="I17" s="10"/>
      <c r="J17" s="10"/>
      <c r="K17" s="10"/>
      <c r="L17" s="11"/>
      <c r="M17" s="9"/>
      <c r="N17" s="10"/>
      <c r="O17" s="137"/>
      <c r="P17" s="164"/>
      <c r="Q17" s="336"/>
      <c r="R17" s="336"/>
      <c r="S17" s="336"/>
      <c r="T17" s="336"/>
      <c r="U17" s="16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</row>
    <row r="18" spans="1:32" ht="15.75" thickBot="1">
      <c r="A18" s="330"/>
      <c r="B18" s="284"/>
      <c r="C18" s="284"/>
      <c r="D18" s="284"/>
      <c r="E18" s="284"/>
      <c r="F18" s="284"/>
      <c r="G18" s="284"/>
      <c r="H18" s="10"/>
      <c r="I18" s="10"/>
      <c r="J18" s="10"/>
      <c r="K18" s="10"/>
      <c r="L18" s="11"/>
      <c r="M18" s="9"/>
      <c r="N18" s="10"/>
      <c r="O18" s="137"/>
      <c r="P18" s="164"/>
      <c r="Q18" s="336"/>
      <c r="R18" s="336"/>
      <c r="S18" s="336"/>
      <c r="T18" s="336"/>
      <c r="U18" s="16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</row>
    <row r="19" spans="1:32" ht="15" customHeight="1">
      <c r="A19" s="330"/>
      <c r="B19" s="284"/>
      <c r="C19" s="284"/>
      <c r="D19" s="284"/>
      <c r="E19" s="284"/>
      <c r="F19" s="284"/>
      <c r="G19" s="284"/>
      <c r="H19" s="167"/>
      <c r="I19" s="10"/>
      <c r="J19" s="10"/>
      <c r="K19" s="10"/>
      <c r="L19" s="10"/>
      <c r="M19" s="9"/>
      <c r="N19" s="10"/>
      <c r="O19" s="137"/>
      <c r="P19" s="162"/>
      <c r="Q19" s="336"/>
      <c r="R19" s="336"/>
      <c r="S19" s="336"/>
      <c r="T19" s="336"/>
      <c r="U19" s="159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</row>
    <row r="20" spans="1:32" ht="15" customHeight="1">
      <c r="A20" s="330"/>
      <c r="B20" s="284"/>
      <c r="C20" s="284"/>
      <c r="D20" s="284"/>
      <c r="E20" s="284"/>
      <c r="F20" s="284"/>
      <c r="G20" s="284"/>
      <c r="H20" s="168"/>
      <c r="I20" s="10"/>
      <c r="J20" s="10"/>
      <c r="K20" s="10"/>
      <c r="L20" s="10"/>
      <c r="M20" s="9"/>
      <c r="N20" s="10"/>
      <c r="O20" s="137"/>
      <c r="P20" s="162"/>
      <c r="Q20" s="84"/>
      <c r="R20" s="333" t="s">
        <v>66</v>
      </c>
      <c r="S20" s="334"/>
      <c r="T20" s="170"/>
      <c r="U20" s="159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</row>
    <row r="21" spans="1:32">
      <c r="A21" s="330"/>
      <c r="B21" s="284"/>
      <c r="C21" s="284"/>
      <c r="D21" s="284"/>
      <c r="E21" s="284"/>
      <c r="F21" s="284"/>
      <c r="G21" s="284"/>
      <c r="H21" s="168"/>
      <c r="I21" s="10"/>
      <c r="J21" s="10"/>
      <c r="K21" s="10"/>
      <c r="L21" s="10"/>
      <c r="M21" s="9"/>
      <c r="N21" s="10"/>
      <c r="O21" s="137"/>
      <c r="P21" s="162"/>
      <c r="Q21" s="84"/>
      <c r="R21" s="84"/>
      <c r="S21" s="84"/>
      <c r="T21" s="84"/>
      <c r="U21" s="159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</row>
    <row r="22" spans="1:32">
      <c r="A22" s="330"/>
      <c r="B22" s="284"/>
      <c r="C22" s="284"/>
      <c r="D22" s="284"/>
      <c r="E22" s="284"/>
      <c r="F22" s="284"/>
      <c r="G22" s="284"/>
      <c r="H22" s="168"/>
      <c r="I22" s="10"/>
      <c r="J22" s="10"/>
      <c r="K22" s="10"/>
      <c r="L22" s="10"/>
      <c r="M22" s="9"/>
      <c r="N22" s="10"/>
      <c r="O22" s="137"/>
      <c r="P22" s="162"/>
      <c r="Q22" s="84"/>
      <c r="R22" s="84"/>
      <c r="S22" s="84"/>
      <c r="T22" s="84"/>
      <c r="U22" s="159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</row>
    <row r="23" spans="1:32" ht="15.75" thickBot="1">
      <c r="A23" s="330"/>
      <c r="B23" s="284"/>
      <c r="C23" s="284"/>
      <c r="D23" s="284"/>
      <c r="E23" s="284"/>
      <c r="F23" s="284"/>
      <c r="G23" s="284"/>
      <c r="H23" s="169"/>
      <c r="I23" s="10"/>
      <c r="J23" s="10"/>
      <c r="K23" s="10"/>
      <c r="L23" s="10"/>
      <c r="M23" s="9"/>
      <c r="N23" s="10"/>
      <c r="O23" s="137"/>
      <c r="P23" s="162"/>
      <c r="Q23" s="84"/>
      <c r="R23" s="84"/>
      <c r="S23" s="84"/>
      <c r="T23" s="84"/>
      <c r="U23" s="159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</row>
    <row r="24" spans="1:32">
      <c r="A24" s="330"/>
      <c r="B24" s="284"/>
      <c r="C24" s="284"/>
      <c r="D24" s="284"/>
      <c r="E24" s="284"/>
      <c r="F24" s="284"/>
      <c r="G24" s="284"/>
      <c r="H24" s="10"/>
      <c r="I24" s="10"/>
      <c r="J24" s="10"/>
      <c r="K24" s="10"/>
      <c r="L24" s="11"/>
      <c r="M24" s="9"/>
      <c r="N24" s="10"/>
      <c r="O24" s="137"/>
      <c r="P24" s="162"/>
      <c r="Q24" s="84"/>
      <c r="R24" s="84"/>
      <c r="S24" s="84"/>
      <c r="T24" s="84"/>
      <c r="U24" s="159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</row>
    <row r="25" spans="1:32">
      <c r="A25" s="330"/>
      <c r="B25" s="284"/>
      <c r="C25" s="284"/>
      <c r="D25" s="284"/>
      <c r="E25" s="284"/>
      <c r="F25" s="284"/>
      <c r="G25" s="284"/>
      <c r="H25" s="10"/>
      <c r="I25" s="10"/>
      <c r="J25" s="10"/>
      <c r="K25" s="10"/>
      <c r="L25" s="11"/>
      <c r="M25" s="9"/>
      <c r="N25" s="10"/>
      <c r="O25" s="137"/>
      <c r="P25" s="162"/>
      <c r="Q25" s="84"/>
      <c r="R25" s="84"/>
      <c r="S25" s="84"/>
      <c r="T25" s="84"/>
      <c r="U25" s="159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</row>
    <row r="26" spans="1:32" ht="15.75" thickBot="1">
      <c r="A26" s="331"/>
      <c r="B26" s="332"/>
      <c r="C26" s="332"/>
      <c r="D26" s="332"/>
      <c r="E26" s="332"/>
      <c r="F26" s="332"/>
      <c r="G26" s="332"/>
      <c r="H26" s="138"/>
      <c r="I26" s="138"/>
      <c r="J26" s="138"/>
      <c r="K26" s="138"/>
      <c r="L26" s="139"/>
      <c r="M26" s="140"/>
      <c r="N26" s="138"/>
      <c r="O26" s="141"/>
      <c r="P26" s="163"/>
      <c r="Q26" s="160"/>
      <c r="R26" s="160"/>
      <c r="S26" s="160"/>
      <c r="T26" s="160"/>
      <c r="U26" s="161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</row>
    <row r="27" spans="1:32" ht="15.75" thickTop="1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</row>
    <row r="28" spans="1:32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</row>
    <row r="29" spans="1:3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</row>
    <row r="30" spans="1:3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</row>
    <row r="31" spans="1:3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</row>
    <row r="32" spans="1:3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</row>
    <row r="33" spans="1:32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</row>
    <row r="34" spans="1:32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</row>
    <row r="35" spans="1:3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</row>
    <row r="36" spans="1:32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</row>
  </sheetData>
  <sheetProtection sheet="1" objects="1" scenarios="1"/>
  <mergeCells count="20">
    <mergeCell ref="J1:K1"/>
    <mergeCell ref="P1:U14"/>
    <mergeCell ref="O1:O14"/>
    <mergeCell ref="B1:B2"/>
    <mergeCell ref="C1:C2"/>
    <mergeCell ref="D1:D2"/>
    <mergeCell ref="G1:G2"/>
    <mergeCell ref="F1:F2"/>
    <mergeCell ref="A16:G26"/>
    <mergeCell ref="R20:S20"/>
    <mergeCell ref="Q15:T19"/>
    <mergeCell ref="B10:C10"/>
    <mergeCell ref="D10:E10"/>
    <mergeCell ref="F6:F11"/>
    <mergeCell ref="G6:G11"/>
    <mergeCell ref="B11:E11"/>
    <mergeCell ref="B8:E8"/>
    <mergeCell ref="B7:E7"/>
    <mergeCell ref="B6:E6"/>
    <mergeCell ref="J10:K10"/>
  </mergeCells>
  <phoneticPr fontId="24" type="noConversion"/>
  <conditionalFormatting sqref="G3:G6">
    <cfRule type="expression" dxfId="0" priority="1">
      <formula>$F3=""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del_all1">
                <anchor moveWithCells="1" sizeWithCells="1">
                  <from>
                    <xdr:col>2</xdr:col>
                    <xdr:colOff>285750</xdr:colOff>
                    <xdr:row>11</xdr:row>
                    <xdr:rowOff>190500</xdr:rowOff>
                  </from>
                  <to>
                    <xdr:col>3</xdr:col>
                    <xdr:colOff>447675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next_sheets1">
                <anchor moveWithCells="1" sizeWithCells="1">
                  <from>
                    <xdr:col>0</xdr:col>
                    <xdr:colOff>419100</xdr:colOff>
                    <xdr:row>11</xdr:row>
                    <xdr:rowOff>190500</xdr:rowOff>
                  </from>
                  <to>
                    <xdr:col>0</xdr:col>
                    <xdr:colOff>1466850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back_sheets1">
                <anchor moveWithCells="1" sizeWithCells="1">
                  <from>
                    <xdr:col>0</xdr:col>
                    <xdr:colOff>1914525</xdr:colOff>
                    <xdr:row>11</xdr:row>
                    <xdr:rowOff>190500</xdr:rowOff>
                  </from>
                  <to>
                    <xdr:col>1</xdr:col>
                    <xdr:colOff>733425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_xludf.save">
                <anchor moveWithCells="1" sizeWithCells="1">
                  <from>
                    <xdr:col>3</xdr:col>
                    <xdr:colOff>895350</xdr:colOff>
                    <xdr:row>11</xdr:row>
                    <xdr:rowOff>190500</xdr:rowOff>
                  </from>
                  <to>
                    <xdr:col>5</xdr:col>
                    <xdr:colOff>238125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save_exit">
                <anchor moveWithCells="1" sizeWithCells="1">
                  <from>
                    <xdr:col>5</xdr:col>
                    <xdr:colOff>685800</xdr:colOff>
                    <xdr:row>11</xdr:row>
                    <xdr:rowOff>190500</xdr:rowOff>
                  </from>
                  <to>
                    <xdr:col>6</xdr:col>
                    <xdr:colOff>666750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copy_kwota_d">
                <anchor moveWithCells="1" sizeWithCells="1">
                  <from>
                    <xdr:col>9</xdr:col>
                    <xdr:colOff>361950</xdr:colOff>
                    <xdr:row>10</xdr:row>
                    <xdr:rowOff>66675</xdr:rowOff>
                  </from>
                  <to>
                    <xdr:col>9</xdr:col>
                    <xdr:colOff>1352550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Button 10">
              <controlPr defaultSize="0" print="0" autoFill="0" autoPict="0" macro="[0]!del_cal">
                <anchor moveWithCells="1" sizeWithCells="1">
                  <from>
                    <xdr:col>10</xdr:col>
                    <xdr:colOff>180975</xdr:colOff>
                    <xdr:row>10</xdr:row>
                    <xdr:rowOff>66675</xdr:rowOff>
                  </from>
                  <to>
                    <xdr:col>10</xdr:col>
                    <xdr:colOff>1171575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dodaj_do_woda">
                <anchor moveWithCells="1" sizeWithCells="1">
                  <from>
                    <xdr:col>12</xdr:col>
                    <xdr:colOff>171450</xdr:colOff>
                    <xdr:row>14</xdr:row>
                    <xdr:rowOff>142875</xdr:rowOff>
                  </from>
                  <to>
                    <xdr:col>13</xdr:col>
                    <xdr:colOff>161925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1" name="Button 15">
              <controlPr defaultSize="0" print="0" autoFill="0" autoPict="0" macro="[0]!del_tab_pods_woda">
                <anchor moveWithCells="1" sizeWithCells="1">
                  <from>
                    <xdr:col>13</xdr:col>
                    <xdr:colOff>381000</xdr:colOff>
                    <xdr:row>14</xdr:row>
                    <xdr:rowOff>142875</xdr:rowOff>
                  </from>
                  <to>
                    <xdr:col>14</xdr:col>
                    <xdr:colOff>333375</xdr:colOff>
                    <xdr:row>15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C546D92-2E51-4260-ACA2-5218CE40C9FD}">
          <x14:formula1>
            <xm:f>PODSUMOWANIE!$B$17:$B$20</xm:f>
          </x14:formula1>
          <xm:sqref>B7:E7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FE2E3-A9D6-46B4-86D7-47C9C921240A}">
  <sheetPr codeName="Arkusz4"/>
  <dimension ref="A1:J19"/>
  <sheetViews>
    <sheetView workbookViewId="0">
      <selection activeCell="D15" sqref="D15"/>
    </sheetView>
  </sheetViews>
  <sheetFormatPr defaultRowHeight="15"/>
  <cols>
    <col min="1" max="6" width="15.7109375" customWidth="1"/>
    <col min="8" max="8" width="15.7109375" customWidth="1"/>
    <col min="10" max="10" width="22.28515625" bestFit="1" customWidth="1"/>
  </cols>
  <sheetData>
    <row r="1" spans="1:10" ht="25.5" thickTop="1" thickBot="1">
      <c r="A1" s="70" t="s">
        <v>53</v>
      </c>
      <c r="B1" s="54">
        <v>2321</v>
      </c>
      <c r="C1" s="71" t="s">
        <v>54</v>
      </c>
      <c r="D1" s="54">
        <v>2424</v>
      </c>
      <c r="E1" s="71" t="s">
        <v>62</v>
      </c>
      <c r="F1" s="68">
        <f>D1-B1</f>
        <v>103</v>
      </c>
      <c r="G1" s="77"/>
      <c r="H1" s="77"/>
      <c r="I1" s="77"/>
      <c r="J1" s="78"/>
    </row>
    <row r="2" spans="1:10" ht="26.25" thickBot="1">
      <c r="A2" s="63">
        <v>44905</v>
      </c>
      <c r="B2" s="72" t="s">
        <v>63</v>
      </c>
      <c r="C2" s="72" t="s">
        <v>55</v>
      </c>
      <c r="D2" s="72" t="s">
        <v>56</v>
      </c>
      <c r="E2" s="72" t="s">
        <v>32</v>
      </c>
      <c r="F2" s="73" t="s">
        <v>57</v>
      </c>
      <c r="G2" s="76"/>
      <c r="H2" s="76"/>
      <c r="I2" s="76"/>
      <c r="J2" s="76"/>
    </row>
    <row r="3" spans="1:10" ht="26.25" thickBot="1">
      <c r="A3" s="74" t="s">
        <v>58</v>
      </c>
      <c r="B3" s="55">
        <v>1163</v>
      </c>
      <c r="C3" s="58">
        <v>9.3919999999999995</v>
      </c>
      <c r="D3" s="64">
        <f>(B3*C3)/100</f>
        <v>109.22895999999999</v>
      </c>
      <c r="E3" s="57">
        <v>0.23</v>
      </c>
      <c r="F3" s="66">
        <f>(D3*E3)+D3</f>
        <v>134.35162079999998</v>
      </c>
      <c r="G3" s="76"/>
      <c r="H3" s="76"/>
      <c r="I3" s="76"/>
      <c r="J3" s="76"/>
    </row>
    <row r="4" spans="1:10" ht="15.75" thickBot="1">
      <c r="A4" s="74" t="s">
        <v>59</v>
      </c>
      <c r="B4" s="69">
        <v>2</v>
      </c>
      <c r="C4" s="58">
        <v>6.28</v>
      </c>
      <c r="D4" s="64">
        <f>(B4*C4)</f>
        <v>12.56</v>
      </c>
      <c r="E4" s="57">
        <v>0.23</v>
      </c>
      <c r="F4" s="66">
        <f t="shared" ref="F4:F6" si="0">(D4*E4)+D4</f>
        <v>15.4488</v>
      </c>
      <c r="G4" s="76"/>
      <c r="H4" s="76"/>
      <c r="I4" s="76"/>
      <c r="J4" s="76"/>
    </row>
    <row r="5" spans="1:10" ht="26.25" thickBot="1">
      <c r="A5" s="74" t="s">
        <v>60</v>
      </c>
      <c r="B5" s="69">
        <v>2.0644999999999998</v>
      </c>
      <c r="C5" s="58">
        <v>34.78</v>
      </c>
      <c r="D5" s="64">
        <f>(B5*C5)</f>
        <v>71.803309999999996</v>
      </c>
      <c r="E5" s="57">
        <v>0.23</v>
      </c>
      <c r="F5" s="66">
        <f t="shared" si="0"/>
        <v>88.3180713</v>
      </c>
      <c r="G5" s="76"/>
      <c r="H5" s="76"/>
      <c r="I5" s="76"/>
      <c r="J5" s="76"/>
    </row>
    <row r="6" spans="1:10" ht="26.25" thickBot="1">
      <c r="A6" s="75" t="s">
        <v>61</v>
      </c>
      <c r="B6" s="56">
        <v>1163</v>
      </c>
      <c r="C6" s="59">
        <v>2.9209999999999998</v>
      </c>
      <c r="D6" s="65">
        <f t="shared" ref="D6" si="1">(B6*C6)/100</f>
        <v>33.971229999999998</v>
      </c>
      <c r="E6" s="60">
        <v>0.23</v>
      </c>
      <c r="F6" s="67">
        <f t="shared" si="0"/>
        <v>41.784612899999999</v>
      </c>
      <c r="G6" s="76"/>
      <c r="H6" s="76"/>
      <c r="I6" s="76"/>
      <c r="J6" s="76"/>
    </row>
    <row r="7" spans="1:10" ht="20.25" thickTop="1" thickBot="1">
      <c r="A7" s="76"/>
      <c r="B7" s="76"/>
      <c r="C7" s="76"/>
      <c r="D7" s="76"/>
      <c r="E7" s="62" t="s">
        <v>64</v>
      </c>
      <c r="F7" s="61">
        <f>SUM(F3:F6)</f>
        <v>279.90310499999998</v>
      </c>
      <c r="G7" s="79"/>
      <c r="H7" s="76"/>
      <c r="I7" s="76"/>
      <c r="J7" s="76"/>
    </row>
    <row r="8" spans="1:10" ht="15.75" thickTop="1">
      <c r="A8" s="76"/>
      <c r="B8" s="76"/>
      <c r="C8" s="76"/>
      <c r="D8" s="76"/>
      <c r="E8" s="76"/>
      <c r="F8" s="76"/>
      <c r="G8" s="76"/>
      <c r="H8" s="76"/>
      <c r="I8" s="76"/>
      <c r="J8" s="76"/>
    </row>
    <row r="9" spans="1:10">
      <c r="A9" s="76"/>
      <c r="B9" s="76"/>
      <c r="C9" s="76"/>
      <c r="D9" s="76"/>
      <c r="E9" s="76"/>
      <c r="F9" s="76"/>
      <c r="G9" s="76"/>
      <c r="H9" s="76"/>
      <c r="I9" s="76"/>
      <c r="J9" s="76"/>
    </row>
    <row r="10" spans="1:10">
      <c r="A10" s="10"/>
      <c r="B10" s="10"/>
      <c r="C10" s="10"/>
      <c r="D10" s="10"/>
      <c r="E10" s="10"/>
      <c r="F10" s="10"/>
      <c r="G10" s="10"/>
      <c r="H10" s="10"/>
      <c r="I10" s="10"/>
      <c r="J10" s="10"/>
    </row>
    <row r="11" spans="1:10">
      <c r="A11" s="10"/>
      <c r="B11" s="10"/>
      <c r="C11" s="10"/>
      <c r="D11" s="10"/>
      <c r="E11" s="10"/>
      <c r="F11" s="10"/>
      <c r="G11" s="10"/>
      <c r="H11" s="10"/>
      <c r="I11" s="10"/>
      <c r="J11" s="10"/>
    </row>
    <row r="12" spans="1:10">
      <c r="A12" s="10"/>
      <c r="B12" s="10"/>
      <c r="C12" s="10"/>
      <c r="D12" s="10"/>
      <c r="E12" s="10"/>
      <c r="F12" s="10"/>
      <c r="G12" s="10"/>
      <c r="H12" s="10"/>
      <c r="I12" s="10"/>
      <c r="J12" s="10"/>
    </row>
    <row r="13" spans="1:10">
      <c r="A13" s="10"/>
      <c r="B13" s="10"/>
      <c r="C13" s="10"/>
      <c r="D13" s="10"/>
      <c r="E13" s="10"/>
      <c r="F13" s="10"/>
      <c r="G13" s="10"/>
      <c r="H13" s="10"/>
      <c r="I13" s="10"/>
      <c r="J13" s="10"/>
    </row>
    <row r="14" spans="1:10">
      <c r="A14" s="76"/>
      <c r="B14" s="76"/>
      <c r="C14" s="76"/>
      <c r="D14" s="76"/>
      <c r="E14" s="76"/>
      <c r="F14" s="76"/>
      <c r="G14" s="76"/>
      <c r="H14" s="76"/>
      <c r="I14" s="76"/>
      <c r="J14" s="76"/>
    </row>
    <row r="15" spans="1:10">
      <c r="A15" s="76"/>
      <c r="B15" s="76"/>
      <c r="C15" s="76"/>
      <c r="D15" s="76"/>
      <c r="E15" s="76"/>
      <c r="F15" s="76"/>
      <c r="G15" s="76"/>
      <c r="H15" s="76"/>
      <c r="I15" s="76"/>
      <c r="J15" s="76"/>
    </row>
    <row r="16" spans="1:10">
      <c r="A16" s="76"/>
      <c r="B16" s="76"/>
      <c r="C16" s="76"/>
      <c r="D16" s="76"/>
      <c r="E16" s="76"/>
      <c r="F16" s="76"/>
      <c r="G16" s="76"/>
      <c r="H16" s="76"/>
      <c r="I16" s="76"/>
      <c r="J16" s="76"/>
    </row>
    <row r="17" spans="1:10">
      <c r="A17" s="76"/>
      <c r="B17" s="76"/>
      <c r="C17" s="76"/>
      <c r="D17" s="76"/>
      <c r="E17" s="76"/>
      <c r="F17" s="76"/>
      <c r="G17" s="76"/>
      <c r="H17" s="76"/>
      <c r="I17" s="76"/>
      <c r="J17" s="76"/>
    </row>
    <row r="18" spans="1:10">
      <c r="A18" s="76"/>
      <c r="B18" s="76"/>
      <c r="C18" s="76"/>
      <c r="D18" s="76"/>
      <c r="E18" s="76"/>
      <c r="F18" s="76"/>
      <c r="G18" s="76"/>
      <c r="H18" s="76"/>
      <c r="I18" s="76"/>
      <c r="J18" s="76"/>
    </row>
    <row r="19" spans="1:10">
      <c r="A19" s="76"/>
      <c r="B19" s="76"/>
      <c r="C19" s="76"/>
      <c r="D19" s="76"/>
      <c r="E19" s="76"/>
      <c r="F19" s="76"/>
      <c r="G19" s="76"/>
      <c r="H19" s="76"/>
      <c r="I19" s="76"/>
      <c r="J19" s="76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next_sheets2">
                <anchor moveWithCells="1" sizeWithCells="1">
                  <from>
                    <xdr:col>0</xdr:col>
                    <xdr:colOff>447675</xdr:colOff>
                    <xdr:row>9</xdr:row>
                    <xdr:rowOff>180975</xdr:rowOff>
                  </from>
                  <to>
                    <xdr:col>1</xdr:col>
                    <xdr:colOff>257175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back_sheets2">
                <anchor moveWithCells="1" sizeWithCells="1">
                  <from>
                    <xdr:col>1</xdr:col>
                    <xdr:colOff>628650</xdr:colOff>
                    <xdr:row>9</xdr:row>
                    <xdr:rowOff>180975</xdr:rowOff>
                  </from>
                  <to>
                    <xdr:col>2</xdr:col>
                    <xdr:colOff>428625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>
                <anchor moveWithCells="1" sizeWithCells="1">
                  <from>
                    <xdr:col>2</xdr:col>
                    <xdr:colOff>800100</xdr:colOff>
                    <xdr:row>9</xdr:row>
                    <xdr:rowOff>180975</xdr:rowOff>
                  </from>
                  <to>
                    <xdr:col>3</xdr:col>
                    <xdr:colOff>609600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Button 8">
              <controlPr defaultSize="0" print="0" autoFill="0" autoPict="0">
                <anchor moveWithCells="1" sizeWithCells="1">
                  <from>
                    <xdr:col>3</xdr:col>
                    <xdr:colOff>981075</xdr:colOff>
                    <xdr:row>9</xdr:row>
                    <xdr:rowOff>180975</xdr:rowOff>
                  </from>
                  <to>
                    <xdr:col>4</xdr:col>
                    <xdr:colOff>790575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>
                <anchor moveWithCells="1" sizeWithCells="1">
                  <from>
                    <xdr:col>5</xdr:col>
                    <xdr:colOff>114300</xdr:colOff>
                    <xdr:row>9</xdr:row>
                    <xdr:rowOff>180975</xdr:rowOff>
                  </from>
                  <to>
                    <xdr:col>5</xdr:col>
                    <xdr:colOff>962025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>
                <anchor moveWithCells="1" sizeWithCells="1">
                  <from>
                    <xdr:col>6</xdr:col>
                    <xdr:colOff>285750</xdr:colOff>
                    <xdr:row>9</xdr:row>
                    <xdr:rowOff>180975</xdr:rowOff>
                  </from>
                  <to>
                    <xdr:col>7</xdr:col>
                    <xdr:colOff>533400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A55E97-DA86-461B-ABB9-FBAA1E963B68}">
          <x14:formula1>
            <xm:f>PODSUMOWANIE!$B$17:$B$20</xm:f>
          </x14:formula1>
          <xm:sqref>E3:E6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6902F-90C7-49E1-A357-12372644A9A1}">
  <sheetPr codeName="Arkusz5"/>
  <dimension ref="A1"/>
  <sheetViews>
    <sheetView workbookViewId="0">
      <selection activeCell="P15" sqref="P15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C1744-4B80-40B6-BE0B-82074AA251C4}">
  <sheetPr codeName="Arkusz6"/>
  <dimension ref="A1:I21"/>
  <sheetViews>
    <sheetView workbookViewId="0">
      <selection activeCell="C36" sqref="C36"/>
    </sheetView>
  </sheetViews>
  <sheetFormatPr defaultRowHeight="15"/>
  <cols>
    <col min="1" max="1" width="11.28515625" customWidth="1"/>
    <col min="2" max="2" width="10.28515625" customWidth="1"/>
    <col min="3" max="3" width="11.28515625" customWidth="1"/>
    <col min="4" max="4" width="10.28515625" customWidth="1"/>
    <col min="5" max="5" width="11.28515625" customWidth="1"/>
    <col min="6" max="6" width="10.28515625" customWidth="1"/>
    <col min="7" max="7" width="11.28515625" customWidth="1"/>
    <col min="8" max="9" width="10.28515625" customWidth="1"/>
  </cols>
  <sheetData>
    <row r="1" spans="1:9" ht="15.75" thickBot="1">
      <c r="A1" s="372" t="s">
        <v>44</v>
      </c>
      <c r="B1" s="372"/>
      <c r="C1" s="372" t="s">
        <v>48</v>
      </c>
      <c r="D1" s="372"/>
      <c r="E1" s="372" t="s">
        <v>49</v>
      </c>
      <c r="F1" s="372"/>
      <c r="G1" s="372" t="s">
        <v>50</v>
      </c>
      <c r="H1" s="372"/>
    </row>
    <row r="2" spans="1:9" ht="24" thickTop="1" thickBot="1">
      <c r="A2" s="41" t="s">
        <v>45</v>
      </c>
      <c r="B2" s="42" t="s">
        <v>46</v>
      </c>
      <c r="C2" s="41" t="s">
        <v>45</v>
      </c>
      <c r="D2" s="42" t="s">
        <v>46</v>
      </c>
      <c r="E2" s="41" t="s">
        <v>45</v>
      </c>
      <c r="F2" s="42" t="s">
        <v>46</v>
      </c>
      <c r="G2" s="41" t="s">
        <v>45</v>
      </c>
      <c r="H2" s="42" t="s">
        <v>46</v>
      </c>
      <c r="I2" s="43" t="s">
        <v>47</v>
      </c>
    </row>
    <row r="3" spans="1:9" ht="16.5" thickTop="1" thickBot="1">
      <c r="A3" s="44">
        <v>44932</v>
      </c>
      <c r="B3" s="45" t="e">
        <f>VLOOKUP(A3,#REF!,13)</f>
        <v>#REF!</v>
      </c>
      <c r="C3" s="46"/>
      <c r="D3" s="46"/>
      <c r="E3" s="46"/>
      <c r="F3" s="46"/>
      <c r="G3" s="46"/>
      <c r="H3" s="46"/>
      <c r="I3" s="53" t="e">
        <f t="shared" ref="I3:I14" si="0">SUM($B3,$D3,$F3,$H3)</f>
        <v>#REF!</v>
      </c>
    </row>
    <row r="4" spans="1:9" ht="16.5" thickTop="1" thickBot="1">
      <c r="A4" s="47">
        <v>44963</v>
      </c>
      <c r="B4" s="48" t="e">
        <f>VLOOKUP(A4,#REF!,13)</f>
        <v>#REF!</v>
      </c>
      <c r="C4" s="49"/>
      <c r="D4" s="49"/>
      <c r="E4" s="49"/>
      <c r="F4" s="49"/>
      <c r="G4" s="49"/>
      <c r="H4" s="49"/>
      <c r="I4" s="53" t="e">
        <f t="shared" si="0"/>
        <v>#REF!</v>
      </c>
    </row>
    <row r="5" spans="1:9" ht="16.5" thickTop="1" thickBot="1">
      <c r="A5" s="47">
        <v>44991</v>
      </c>
      <c r="B5" s="48" t="e">
        <f>VLOOKUP(A5,#REF!,13)</f>
        <v>#REF!</v>
      </c>
      <c r="C5" s="49"/>
      <c r="D5" s="49"/>
      <c r="E5" s="49"/>
      <c r="F5" s="49"/>
      <c r="G5" s="49"/>
      <c r="H5" s="49"/>
      <c r="I5" s="53" t="e">
        <f t="shared" si="0"/>
        <v>#REF!</v>
      </c>
    </row>
    <row r="6" spans="1:9" ht="16.5" thickTop="1" thickBot="1">
      <c r="A6" s="47"/>
      <c r="B6" s="48" t="e">
        <f>VLOOKUP(A6,#REF!,13)</f>
        <v>#REF!</v>
      </c>
      <c r="C6" s="49"/>
      <c r="D6" s="49"/>
      <c r="E6" s="49"/>
      <c r="F6" s="49"/>
      <c r="G6" s="49"/>
      <c r="H6" s="49"/>
      <c r="I6" s="53" t="e">
        <f t="shared" si="0"/>
        <v>#REF!</v>
      </c>
    </row>
    <row r="7" spans="1:9" ht="16.5" thickTop="1" thickBot="1">
      <c r="A7" s="47"/>
      <c r="B7" s="48" t="e">
        <f>VLOOKUP(A7,#REF!,13)</f>
        <v>#REF!</v>
      </c>
      <c r="C7" s="49"/>
      <c r="D7" s="49"/>
      <c r="E7" s="49"/>
      <c r="F7" s="49"/>
      <c r="G7" s="49"/>
      <c r="H7" s="49"/>
      <c r="I7" s="53" t="e">
        <f t="shared" si="0"/>
        <v>#REF!</v>
      </c>
    </row>
    <row r="8" spans="1:9" ht="16.5" thickTop="1" thickBot="1">
      <c r="A8" s="47"/>
      <c r="B8" s="48" t="e">
        <f>VLOOKUP(A8,#REF!,13)</f>
        <v>#REF!</v>
      </c>
      <c r="C8" s="49"/>
      <c r="D8" s="49"/>
      <c r="E8" s="49"/>
      <c r="F8" s="49"/>
      <c r="G8" s="49"/>
      <c r="H8" s="49"/>
      <c r="I8" s="53" t="e">
        <f t="shared" si="0"/>
        <v>#REF!</v>
      </c>
    </row>
    <row r="9" spans="1:9" ht="16.5" thickTop="1" thickBot="1">
      <c r="A9" s="47"/>
      <c r="B9" s="48" t="e">
        <f>VLOOKUP(A9,#REF!,13)</f>
        <v>#REF!</v>
      </c>
      <c r="C9" s="49"/>
      <c r="D9" s="49"/>
      <c r="E9" s="49"/>
      <c r="F9" s="49"/>
      <c r="G9" s="49"/>
      <c r="H9" s="49"/>
      <c r="I9" s="53" t="e">
        <f t="shared" si="0"/>
        <v>#REF!</v>
      </c>
    </row>
    <row r="10" spans="1:9" ht="16.5" thickTop="1" thickBot="1">
      <c r="A10" s="47"/>
      <c r="B10" s="48" t="e">
        <f>VLOOKUP(A10,#REF!,13)</f>
        <v>#REF!</v>
      </c>
      <c r="C10" s="49"/>
      <c r="D10" s="49"/>
      <c r="E10" s="49"/>
      <c r="F10" s="49"/>
      <c r="G10" s="49"/>
      <c r="H10" s="49"/>
      <c r="I10" s="53" t="e">
        <f t="shared" si="0"/>
        <v>#REF!</v>
      </c>
    </row>
    <row r="11" spans="1:9" ht="16.5" thickTop="1" thickBot="1">
      <c r="A11" s="47"/>
      <c r="B11" s="48" t="e">
        <f>VLOOKUP(A11,#REF!,13)</f>
        <v>#REF!</v>
      </c>
      <c r="C11" s="49"/>
      <c r="D11" s="49"/>
      <c r="E11" s="49"/>
      <c r="F11" s="49"/>
      <c r="G11" s="49"/>
      <c r="H11" s="49"/>
      <c r="I11" s="53" t="e">
        <f t="shared" si="0"/>
        <v>#REF!</v>
      </c>
    </row>
    <row r="12" spans="1:9" ht="16.5" thickTop="1" thickBot="1">
      <c r="A12" s="47"/>
      <c r="B12" s="48" t="e">
        <f>VLOOKUP(A12,#REF!,13)</f>
        <v>#REF!</v>
      </c>
      <c r="C12" s="49"/>
      <c r="D12" s="49"/>
      <c r="E12" s="49"/>
      <c r="F12" s="49"/>
      <c r="G12" s="49"/>
      <c r="H12" s="49"/>
      <c r="I12" s="53" t="e">
        <f t="shared" si="0"/>
        <v>#REF!</v>
      </c>
    </row>
    <row r="13" spans="1:9" ht="16.5" thickTop="1" thickBot="1">
      <c r="A13" s="47"/>
      <c r="B13" s="48" t="e">
        <f>VLOOKUP(A13,#REF!,13)</f>
        <v>#REF!</v>
      </c>
      <c r="C13" s="49"/>
      <c r="D13" s="49"/>
      <c r="E13" s="49"/>
      <c r="F13" s="49"/>
      <c r="G13" s="49"/>
      <c r="H13" s="49"/>
      <c r="I13" s="53" t="e">
        <f t="shared" si="0"/>
        <v>#REF!</v>
      </c>
    </row>
    <row r="14" spans="1:9" ht="16.5" thickTop="1" thickBot="1">
      <c r="A14" s="50"/>
      <c r="B14" s="51" t="e">
        <f>VLOOKUP(A14,#REF!,13)</f>
        <v>#REF!</v>
      </c>
      <c r="C14" s="52"/>
      <c r="D14" s="52"/>
      <c r="E14" s="52"/>
      <c r="F14" s="52"/>
      <c r="G14" s="52"/>
      <c r="H14" s="52"/>
      <c r="I14" s="53" t="e">
        <f t="shared" si="0"/>
        <v>#REF!</v>
      </c>
    </row>
    <row r="15" spans="1:9" ht="15.75" thickTop="1"/>
    <row r="17" spans="1:2">
      <c r="A17" t="s">
        <v>0</v>
      </c>
    </row>
    <row r="18" spans="1:2">
      <c r="A18">
        <v>1</v>
      </c>
      <c r="B18" s="3">
        <v>0.05</v>
      </c>
    </row>
    <row r="19" spans="1:2">
      <c r="A19">
        <v>2</v>
      </c>
      <c r="B19" s="3">
        <v>0.08</v>
      </c>
    </row>
    <row r="20" spans="1:2">
      <c r="A20">
        <v>6</v>
      </c>
      <c r="B20" s="3">
        <v>0.23</v>
      </c>
    </row>
    <row r="21" spans="1:2">
      <c r="A21">
        <v>12</v>
      </c>
    </row>
  </sheetData>
  <sheetProtection sheet="1" objects="1" scenarios="1"/>
  <mergeCells count="4">
    <mergeCell ref="A1:B1"/>
    <mergeCell ref="C1:D1"/>
    <mergeCell ref="E1:F1"/>
    <mergeCell ref="G1:H1"/>
  </mergeCells>
  <dataValidations count="1">
    <dataValidation type="list" allowBlank="1" showInputMessage="1" showErrorMessage="1" sqref="A3:A14" xr:uid="{4D9BE401-E3C2-421C-B492-5C0D91A3D60F}">
      <formula1>#REF!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Energia elektryczna</vt:lpstr>
      <vt:lpstr>Woda</vt:lpstr>
      <vt:lpstr>Gaz</vt:lpstr>
      <vt:lpstr>ŚMIECI</vt:lpstr>
      <vt:lpstr>PODSUMOWANIE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UserPiotrek</dc:creator>
  <cp:lastModifiedBy>Piotr Bodych</cp:lastModifiedBy>
  <dcterms:created xsi:type="dcterms:W3CDTF">2022-12-11T14:34:42Z</dcterms:created>
  <dcterms:modified xsi:type="dcterms:W3CDTF">2023-07-15T18:37:22Z</dcterms:modified>
</cp:coreProperties>
</file>